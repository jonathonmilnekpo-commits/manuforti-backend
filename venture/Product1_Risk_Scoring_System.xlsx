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Criteria" sheetId="1" r:id="rId1"/>
    <sheet name="Scoring Calculator" sheetId="2" r:id="rId2"/>
    <sheet name="Example - Nel ASA" sheetId="3" r:id="rId3"/>
    <sheet name="Rating Reference" sheetId="4" r:id="rId4"/>
    <sheet name="Mitigation Conditions" sheetId="5" r:id="rId5"/>
  </sheets>
  <calcPr calcId="124519" fullCalcOnLoad="1"/>
</workbook>
</file>

<file path=xl/sharedStrings.xml><?xml version="1.0" encoding="utf-8"?>
<sst xmlns="http://schemas.openxmlformats.org/spreadsheetml/2006/main" count="281" uniqueCount="200">
  <si>
    <t>Product 1 - Risk Scoring Criteria</t>
  </si>
  <si>
    <t>Manu Forti Intelligence | Supplier Risk Assessment Framework</t>
  </si>
  <si>
    <t>Risk Category</t>
  </si>
  <si>
    <t>Risk Factor</t>
  </si>
  <si>
    <t>Weight</t>
  </si>
  <si>
    <t>Low (0-33)</t>
  </si>
  <si>
    <t>Medium (34-66)</t>
  </si>
  <si>
    <t>High (67-100)</t>
  </si>
  <si>
    <t>Data Sources</t>
  </si>
  <si>
    <t>Notes</t>
  </si>
  <si>
    <t>FINANCIAL</t>
  </si>
  <si>
    <t>Revenue Trend</t>
  </si>
  <si>
    <t>10%</t>
  </si>
  <si>
    <t>Revenue growing &gt;10% CAGR</t>
  </si>
  <si>
    <t>Revenue flat or volatile ±10%</t>
  </si>
  <si>
    <t>Revenue declining &gt;10% CAGR</t>
  </si>
  <si>
    <t>Annual reports; Bloomberg</t>
  </si>
  <si>
    <t>3-year trend</t>
  </si>
  <si>
    <t>EBITDA Margin</t>
  </si>
  <si>
    <t>&gt;15% margin stable</t>
  </si>
  <si>
    <t>5-15% margin or declining</t>
  </si>
  <si>
    <t>&lt;5% or negative margin</t>
  </si>
  <si>
    <t>Annual reports; Capital IQ</t>
  </si>
  <si>
    <t>Operating profitability</t>
  </si>
  <si>
    <t>Leverage (Debt/EBITDA)</t>
  </si>
  <si>
    <t>&lt;2.0x with stable cash flow</t>
  </si>
  <si>
    <t>2.0-4.0x or covenant pressure</t>
  </si>
  <si>
    <t>&gt;4.0x or restructuring risk</t>
  </si>
  <si>
    <t>Credit reports; Annual reports</t>
  </si>
  <si>
    <t>Debt sustainability</t>
  </si>
  <si>
    <t>OPERATIONAL</t>
  </si>
  <si>
    <t>Manufacturing Capacity</t>
  </si>
  <si>
    <t>8%</t>
  </si>
  <si>
    <t>Capacity &gt;120% of demand; diversified</t>
  </si>
  <si>
    <t>Capacity 100-120%; some constraints</t>
  </si>
  <si>
    <t>Capacity &lt;100%; single point of failure</t>
  </si>
  <si>
    <t>Company reports; Site visits</t>
  </si>
  <si>
    <t>Utilization vs demand</t>
  </si>
  <si>
    <t>Customer Concentration</t>
  </si>
  <si>
    <t>No customer &gt;20% revenue</t>
  </si>
  <si>
    <t>One customer 20-40% revenue</t>
  </si>
  <si>
    <t>One customer &gt;40% revenue</t>
  </si>
  <si>
    <t>Annual reports; Contracts</t>
  </si>
  <si>
    <t>Revenue stability risk</t>
  </si>
  <si>
    <t>Certifications &amp; Track Record</t>
  </si>
  <si>
    <t>9%</t>
  </si>
  <si>
    <t>ISO certified; &gt;10 years track record</t>
  </si>
  <si>
    <t>Some certifications; 5-10 years history</t>
  </si>
  <si>
    <t>Certification gaps; &lt;5 years or poor record</t>
  </si>
  <si>
    <t>ISO registry; Industry databases</t>
  </si>
  <si>
    <t>Quality assurance</t>
  </si>
  <si>
    <t>GEOPOLITICAL</t>
  </si>
  <si>
    <t>Country Risk Rating</t>
  </si>
  <si>
    <t>OECD member; stable democracy</t>
  </si>
  <si>
    <t>Emerging market; moderate risk</t>
  </si>
  <si>
    <t>High risk; sanctions; conflict zone</t>
  </si>
  <si>
    <t>OECD; World Bank; OFAC</t>
  </si>
  <si>
    <t>Political stability</t>
  </si>
  <si>
    <t>Sanctions Exposure</t>
  </si>
  <si>
    <t>No sanctions; clean screening</t>
  </si>
  <si>
    <t>Minor sanctions (non-blocking)</t>
  </si>
  <si>
    <t>Primary sanctions; SDN list match</t>
  </si>
  <si>
    <t>OFAC; EU; UN sanctions lists</t>
  </si>
  <si>
    <t>Compliance risk</t>
  </si>
  <si>
    <t>Currency &amp; Regulatory</t>
  </si>
  <si>
    <t>7%</t>
  </si>
  <si>
    <t>Stable currency; favorable regulations</t>
  </si>
  <si>
    <t>Moderate FX risk; evolving regulations</t>
  </si>
  <si>
    <t>Volatile currency; restrictive regulations</t>
  </si>
  <si>
    <t>IMF; Central bank; Local counsel</t>
  </si>
  <si>
    <t>Financial predictability</t>
  </si>
  <si>
    <t>ESG</t>
  </si>
  <si>
    <t>Environmental Record</t>
  </si>
  <si>
    <t>No violations; strong sustainability</t>
  </si>
  <si>
    <t>Minor violations; improvement plans</t>
  </si>
  <si>
    <t>Major violations; legal action; poor ratings</t>
  </si>
  <si>
    <t>EcoVadis; EPA; Media screening</t>
  </si>
  <si>
    <t>Environmental compliance</t>
  </si>
  <si>
    <t>Social &amp; Labor</t>
  </si>
  <si>
    <t>Clean record; strong labor practices</t>
  </si>
  <si>
    <t>Minor labor issues; ongoing disputes</t>
  </si>
  <si>
    <t>Major labor disputes; human rights concerns</t>
  </si>
  <si>
    <t>Media; Labor unions; NGO reports</t>
  </si>
  <si>
    <t>Social license</t>
  </si>
  <si>
    <t>Governance &amp; Ethics</t>
  </si>
  <si>
    <t>6%</t>
  </si>
  <si>
    <t>Transparent ownership; strong governance</t>
  </si>
  <si>
    <t>Governance gaps; minor controversies</t>
  </si>
  <si>
    <t>Poor governance; corruption issues; sanctions</t>
  </si>
  <si>
    <t>Beneficial ownership registries; FCPA</t>
  </si>
  <si>
    <t>Corporate integrity</t>
  </si>
  <si>
    <t>Risk Scoring Calculator</t>
  </si>
  <si>
    <t>Enter raw scores (0-100) for each risk factor to calculate overall risk rating</t>
  </si>
  <si>
    <t>Raw Score
(0-100)</t>
  </si>
  <si>
    <t>Weighted
Score</t>
  </si>
  <si>
    <t>Rating</t>
  </si>
  <si>
    <t>CATEGORY SUBTOTALS</t>
  </si>
  <si>
    <t>Financial Subtotal</t>
  </si>
  <si>
    <t>30% weight</t>
  </si>
  <si>
    <t>Operational Subtotal</t>
  </si>
  <si>
    <t>25% weight</t>
  </si>
  <si>
    <t>Geopolitical Subtotal</t>
  </si>
  <si>
    <t>ESG Subtotal</t>
  </si>
  <si>
    <t>20% weight</t>
  </si>
  <si>
    <t>RAW TOTAL</t>
  </si>
  <si>
    <t>ESG Override Check</t>
  </si>
  <si>
    <t>If ESG=MEDIUM and others avg=LOW → Overall=MEDIUM</t>
  </si>
  <si>
    <t>FINAL SCORE</t>
  </si>
  <si>
    <t>RECOMMENDATION</t>
  </si>
  <si>
    <t>Example Calculation: Nel ASA (Hydrogen/Electrolyser)</t>
  </si>
  <si>
    <t>Sample risk assessment for demonstration purposes</t>
  </si>
  <si>
    <t>Raw Score</t>
  </si>
  <si>
    <t>Weighted Score</t>
  </si>
  <si>
    <t>Justification</t>
  </si>
  <si>
    <t>MEDIUM</t>
  </si>
  <si>
    <t>Growth slowing but still positive</t>
  </si>
  <si>
    <t>Negative EBITDA in recent quarters</t>
  </si>
  <si>
    <t>Moderate debt levels</t>
  </si>
  <si>
    <t>Capacity expansion ongoing</t>
  </si>
  <si>
    <t>LOW</t>
  </si>
  <si>
    <t>Diversified customer base</t>
  </si>
  <si>
    <t>Strong track record in hydrogen</t>
  </si>
  <si>
    <t>Norway - very low risk</t>
  </si>
  <si>
    <t>No sanctions exposure</t>
  </si>
  <si>
    <t>Stable NOK, favorable regulations</t>
  </si>
  <si>
    <t>Some project concerns raised</t>
  </si>
  <si>
    <t>Generally positive record</t>
  </si>
  <si>
    <t>Standard governance practices</t>
  </si>
  <si>
    <t>Mixed financial signals</t>
  </si>
  <si>
    <t>Strong operational profile</t>
  </si>
  <si>
    <t>Excellent geopolitical position</t>
  </si>
  <si>
    <t>Some environmental concerns</t>
  </si>
  <si>
    <t>ESG=MEDIUM (40 avg), Others avg=28 → Apply elevator rule</t>
  </si>
  <si>
    <t>After ESG override applied</t>
  </si>
  <si>
    <t>⚠️ CONDITIONAL APPROVAL</t>
  </si>
  <si>
    <t>RECOMMENDED CONDITIONS:</t>
  </si>
  <si>
    <t>1. Milestone-based payments tied to delivery</t>
  </si>
  <si>
    <t>2. Monitor Q4 results for EBITDA improvement</t>
  </si>
  <si>
    <t>3. Reassess in 6 months</t>
  </si>
  <si>
    <t>4. Require parent guarantee for large contracts</t>
  </si>
  <si>
    <t>Risk Rating Reference Guide</t>
  </si>
  <si>
    <t>Score Range</t>
  </si>
  <si>
    <t>Risk Level</t>
  </si>
  <si>
    <t>Color Code</t>
  </si>
  <si>
    <t>Recommendation</t>
  </si>
  <si>
    <t>Approval Authority</t>
  </si>
  <si>
    <t>0-33</t>
  </si>
  <si>
    <t>#48BB78</t>
  </si>
  <si>
    <t>✅ APPROVE</t>
  </si>
  <si>
    <t>Aiden</t>
  </si>
  <si>
    <t>34-50</t>
  </si>
  <si>
    <t>MEDIUM-LOW</t>
  </si>
  <si>
    <t>#ECC94B</t>
  </si>
  <si>
    <t>✅ APPROVE with minor conditions</t>
  </si>
  <si>
    <t>51-66</t>
  </si>
  <si>
    <t>#ED8936</t>
  </si>
  <si>
    <t>⚠️ CONDITIONAL</t>
  </si>
  <si>
    <t>67-80</t>
  </si>
  <si>
    <t>MEDIUM-HIGH</t>
  </si>
  <si>
    <t>#FC8181</t>
  </si>
  <si>
    <t>⚠️ CONDITIONAL with significant safeguards</t>
  </si>
  <si>
    <t>Jonathon</t>
  </si>
  <si>
    <t>81-100</t>
  </si>
  <si>
    <t>HIGH</t>
  </si>
  <si>
    <t>#E53E3E</t>
  </si>
  <si>
    <t>❌ REJECT / EXTREME CAUTION</t>
  </si>
  <si>
    <t>CEO approval only</t>
  </si>
  <si>
    <t>ESG Override Rules</t>
  </si>
  <si>
    <t>Rule</t>
  </si>
  <si>
    <t>Condition</t>
  </si>
  <si>
    <t>Result</t>
  </si>
  <si>
    <t>ESG Elevator</t>
  </si>
  <si>
    <t>ESG=MEDIUM + All Others=LOW</t>
  </si>
  <si>
    <t>Overall rating elevated to MEDIUM (not LOW)</t>
  </si>
  <si>
    <t>ESG Cap</t>
  </si>
  <si>
    <t>ESG=HIGH</t>
  </si>
  <si>
    <t>Overall rating elevated by one tier minimum</t>
  </si>
  <si>
    <t>Tier-Specific Risk Thresholds</t>
  </si>
  <si>
    <t>Tier</t>
  </si>
  <si>
    <t>Max Acceptable Risk</t>
  </si>
  <si>
    <t>Standard ($249)</t>
  </si>
  <si>
    <t>66 (MEDIUM)</t>
  </si>
  <si>
    <t>Conditional approval acceptable</t>
  </si>
  <si>
    <t>Premium ($349)</t>
  </si>
  <si>
    <t>Enhanced due diligence for 51-66 range</t>
  </si>
  <si>
    <t>Enterprise ($499)</t>
  </si>
  <si>
    <t>80 (MEDIUM-HIGH)</t>
  </si>
  <si>
    <t>All HIGH risk require Jonathon sign-off</t>
  </si>
  <si>
    <t>Risk Mitigation Conditions</t>
  </si>
  <si>
    <t>Sample Conditions</t>
  </si>
  <si>
    <t>Implementation</t>
  </si>
  <si>
    <t>MEDIUM
(34-66)</t>
  </si>
  <si>
    <t>• Milestone-based payments
• Parent guarantee
• Performance bond
• Quarterly business reviews</t>
  </si>
  <si>
    <t>Standard contract clauses</t>
  </si>
  <si>
    <t>MEDIUM-HIGH
(67-80)</t>
  </si>
  <si>
    <t>• Letter of credit
• Escrow arrangement
• Reduced contract value
• Monthly monitoring
• Board approval required</t>
  </si>
  <si>
    <t>Enhanced contract terms</t>
  </si>
  <si>
    <t>HIGH
(81-100)</t>
  </si>
  <si>
    <t>• Do not proceed
• Alternative supplier required
• Exceptional circumstances only
• CEO approval required</t>
  </si>
  <si>
    <t>Exception process only</t>
  </si>
</sst>
</file>

<file path=xl/styles.xml><?xml version="1.0" encoding="utf-8"?>
<styleSheet xmlns="http://schemas.openxmlformats.org/spreadsheetml/2006/main">
  <numFmts count="2">
    <numFmt numFmtId="164" formatCode="0%"/>
    <numFmt numFmtId="165" formatCode="0.0"/>
  </numFmts>
  <fonts count="5">
    <font>
      <sz val="11"/>
      <color theme="1"/>
      <name val="Calibri"/>
      <family val="2"/>
      <scheme val="minor"/>
    </font>
    <font>
      <b/>
      <sz val="16"/>
      <color rgb="FF002147"/>
      <name val="Calibri"/>
      <family val="2"/>
      <scheme val="minor"/>
    </font>
    <font>
      <i/>
      <sz val="10"/>
      <color rgb="FF71809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147"/>
        <bgColor indexed="64"/>
      </patternFill>
    </fill>
    <fill>
      <patternFill patternType="solid">
        <fgColor rgb="FF2B6CB0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EBF4FF"/>
        <bgColor indexed="64"/>
      </patternFill>
    </fill>
    <fill>
      <patternFill patternType="solid">
        <fgColor rgb="FFED8936"/>
        <bgColor indexed="64"/>
      </patternFill>
    </fill>
    <fill>
      <patternFill patternType="solid">
        <fgColor rgb="FF48BB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2147"/>
  </sheetPr>
  <dimension ref="A1:H16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8.7109375" customWidth="1"/>
    <col min="4" max="6" width="35.7109375" customWidth="1"/>
    <col min="7" max="7" width="30.7109375" customWidth="1"/>
    <col min="8" max="8" width="25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45" customHeight="1">
      <c r="A5" s="4" t="s">
        <v>10</v>
      </c>
      <c r="B5" s="5" t="s">
        <v>11</v>
      </c>
      <c r="C5" s="6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spans="1:8" ht="45" customHeight="1">
      <c r="A6" s="4" t="s">
        <v>10</v>
      </c>
      <c r="B6" s="5" t="s">
        <v>18</v>
      </c>
      <c r="C6" s="6" t="s">
        <v>12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</row>
    <row r="7" spans="1:8" ht="45" customHeight="1">
      <c r="A7" s="4" t="s">
        <v>10</v>
      </c>
      <c r="B7" s="5" t="s">
        <v>24</v>
      </c>
      <c r="C7" s="6" t="s">
        <v>12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</row>
    <row r="8" spans="1:8" ht="45" customHeight="1">
      <c r="A8" s="4" t="s">
        <v>30</v>
      </c>
      <c r="B8" s="5" t="s">
        <v>31</v>
      </c>
      <c r="C8" s="6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5" t="s">
        <v>37</v>
      </c>
    </row>
    <row r="9" spans="1:8" ht="45" customHeight="1">
      <c r="A9" s="4" t="s">
        <v>30</v>
      </c>
      <c r="B9" s="5" t="s">
        <v>38</v>
      </c>
      <c r="C9" s="6" t="s">
        <v>32</v>
      </c>
      <c r="D9" s="5" t="s">
        <v>39</v>
      </c>
      <c r="E9" s="5" t="s">
        <v>40</v>
      </c>
      <c r="F9" s="5" t="s">
        <v>41</v>
      </c>
      <c r="G9" s="5" t="s">
        <v>42</v>
      </c>
      <c r="H9" s="5" t="s">
        <v>43</v>
      </c>
    </row>
    <row r="10" spans="1:8" ht="45" customHeight="1">
      <c r="A10" s="4" t="s">
        <v>30</v>
      </c>
      <c r="B10" s="5" t="s">
        <v>44</v>
      </c>
      <c r="C10" s="6" t="s">
        <v>45</v>
      </c>
      <c r="D10" s="5" t="s">
        <v>46</v>
      </c>
      <c r="E10" s="5" t="s">
        <v>47</v>
      </c>
      <c r="F10" s="5" t="s">
        <v>48</v>
      </c>
      <c r="G10" s="5" t="s">
        <v>49</v>
      </c>
      <c r="H10" s="5" t="s">
        <v>50</v>
      </c>
    </row>
    <row r="11" spans="1:8" ht="45" customHeight="1">
      <c r="A11" s="4" t="s">
        <v>51</v>
      </c>
      <c r="B11" s="5" t="s">
        <v>52</v>
      </c>
      <c r="C11" s="6" t="s">
        <v>12</v>
      </c>
      <c r="D11" s="5" t="s">
        <v>53</v>
      </c>
      <c r="E11" s="5" t="s">
        <v>54</v>
      </c>
      <c r="F11" s="5" t="s">
        <v>55</v>
      </c>
      <c r="G11" s="5" t="s">
        <v>56</v>
      </c>
      <c r="H11" s="5" t="s">
        <v>57</v>
      </c>
    </row>
    <row r="12" spans="1:8" ht="45" customHeight="1">
      <c r="A12" s="4" t="s">
        <v>51</v>
      </c>
      <c r="B12" s="5" t="s">
        <v>58</v>
      </c>
      <c r="C12" s="6" t="s">
        <v>32</v>
      </c>
      <c r="D12" s="5" t="s">
        <v>59</v>
      </c>
      <c r="E12" s="5" t="s">
        <v>60</v>
      </c>
      <c r="F12" s="5" t="s">
        <v>61</v>
      </c>
      <c r="G12" s="5" t="s">
        <v>62</v>
      </c>
      <c r="H12" s="5" t="s">
        <v>63</v>
      </c>
    </row>
    <row r="13" spans="1:8" ht="45" customHeight="1">
      <c r="A13" s="4" t="s">
        <v>51</v>
      </c>
      <c r="B13" s="5" t="s">
        <v>64</v>
      </c>
      <c r="C13" s="6" t="s">
        <v>65</v>
      </c>
      <c r="D13" s="5" t="s">
        <v>66</v>
      </c>
      <c r="E13" s="5" t="s">
        <v>67</v>
      </c>
      <c r="F13" s="5" t="s">
        <v>68</v>
      </c>
      <c r="G13" s="5" t="s">
        <v>69</v>
      </c>
      <c r="H13" s="5" t="s">
        <v>70</v>
      </c>
    </row>
    <row r="14" spans="1:8" ht="45" customHeight="1">
      <c r="A14" s="4" t="s">
        <v>71</v>
      </c>
      <c r="B14" s="5" t="s">
        <v>72</v>
      </c>
      <c r="C14" s="6" t="s">
        <v>65</v>
      </c>
      <c r="D14" s="5" t="s">
        <v>73</v>
      </c>
      <c r="E14" s="5" t="s">
        <v>74</v>
      </c>
      <c r="F14" s="5" t="s">
        <v>75</v>
      </c>
      <c r="G14" s="5" t="s">
        <v>76</v>
      </c>
      <c r="H14" s="5" t="s">
        <v>77</v>
      </c>
    </row>
    <row r="15" spans="1:8" ht="45" customHeight="1">
      <c r="A15" s="4" t="s">
        <v>71</v>
      </c>
      <c r="B15" s="5" t="s">
        <v>78</v>
      </c>
      <c r="C15" s="6" t="s">
        <v>65</v>
      </c>
      <c r="D15" s="5" t="s">
        <v>79</v>
      </c>
      <c r="E15" s="5" t="s">
        <v>80</v>
      </c>
      <c r="F15" s="5" t="s">
        <v>81</v>
      </c>
      <c r="G15" s="5" t="s">
        <v>82</v>
      </c>
      <c r="H15" s="5" t="s">
        <v>83</v>
      </c>
    </row>
    <row r="16" spans="1:8" ht="45" customHeight="1">
      <c r="A16" s="4" t="s">
        <v>71</v>
      </c>
      <c r="B16" s="5" t="s">
        <v>84</v>
      </c>
      <c r="C16" s="6" t="s">
        <v>85</v>
      </c>
      <c r="D16" s="5" t="s">
        <v>86</v>
      </c>
      <c r="E16" s="5" t="s">
        <v>87</v>
      </c>
      <c r="F16" s="5" t="s">
        <v>88</v>
      </c>
      <c r="G16" s="5" t="s">
        <v>89</v>
      </c>
      <c r="H16" s="5" t="s">
        <v>90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6CB0"/>
  </sheetPr>
  <dimension ref="A1:F27"/>
  <sheetViews>
    <sheetView workbookViewId="0"/>
  </sheetViews>
  <sheetFormatPr defaultRowHeight="15"/>
  <cols>
    <col min="1" max="1" width="28.7109375" customWidth="1"/>
    <col min="2" max="2" width="10.7109375" customWidth="1"/>
    <col min="3" max="5" width="12.7109375" customWidth="1"/>
    <col min="6" max="6" width="35.7109375" customWidth="1"/>
  </cols>
  <sheetData>
    <row r="1" spans="1:6">
      <c r="A1" s="1" t="s">
        <v>91</v>
      </c>
      <c r="B1" s="1"/>
      <c r="C1" s="1"/>
      <c r="D1" s="1"/>
      <c r="E1" s="1"/>
      <c r="F1" s="1"/>
    </row>
    <row r="2" spans="1:6">
      <c r="A2" s="2" t="s">
        <v>92</v>
      </c>
      <c r="B2" s="2"/>
      <c r="C2" s="2"/>
      <c r="D2" s="2"/>
      <c r="E2" s="2"/>
      <c r="F2" s="2"/>
    </row>
    <row r="4" spans="1:6">
      <c r="A4" s="3" t="s">
        <v>3</v>
      </c>
      <c r="B4" s="3" t="s">
        <v>4</v>
      </c>
      <c r="C4" s="3" t="s">
        <v>93</v>
      </c>
      <c r="D4" s="3" t="s">
        <v>94</v>
      </c>
      <c r="E4" s="3" t="s">
        <v>95</v>
      </c>
      <c r="F4" s="3" t="s">
        <v>9</v>
      </c>
    </row>
    <row r="5" spans="1:6">
      <c r="A5" s="5" t="s">
        <v>11</v>
      </c>
      <c r="B5" s="7">
        <v>0.1</v>
      </c>
      <c r="C5" s="8">
        <v>0</v>
      </c>
      <c r="D5" s="8">
        <f>C5*B5</f>
        <v>0</v>
      </c>
      <c r="E5" s="6">
        <f>IF(C5&lt;=33,"LOW",IF(C5&lt;=66,"MEDIUM","HIGH"))</f>
        <v>0</v>
      </c>
      <c r="F5" s="5"/>
    </row>
    <row r="6" spans="1:6">
      <c r="A6" s="5" t="s">
        <v>18</v>
      </c>
      <c r="B6" s="7">
        <v>0.1</v>
      </c>
      <c r="C6" s="8">
        <v>0</v>
      </c>
      <c r="D6" s="8">
        <f>C6*B6</f>
        <v>0</v>
      </c>
      <c r="E6" s="6">
        <f>IF(C6&lt;=33,"LOW",IF(C6&lt;=66,"MEDIUM","HIGH"))</f>
        <v>0</v>
      </c>
      <c r="F6" s="5"/>
    </row>
    <row r="7" spans="1:6">
      <c r="A7" s="5" t="s">
        <v>24</v>
      </c>
      <c r="B7" s="7">
        <v>0.1</v>
      </c>
      <c r="C7" s="8">
        <v>0</v>
      </c>
      <c r="D7" s="8">
        <f>C7*B7</f>
        <v>0</v>
      </c>
      <c r="E7" s="6">
        <f>IF(C7&lt;=33,"LOW",IF(C7&lt;=66,"MEDIUM","HIGH"))</f>
        <v>0</v>
      </c>
      <c r="F7" s="5"/>
    </row>
    <row r="8" spans="1:6">
      <c r="A8" s="5" t="s">
        <v>31</v>
      </c>
      <c r="B8" s="7">
        <v>0.08</v>
      </c>
      <c r="C8" s="8">
        <v>0</v>
      </c>
      <c r="D8" s="8">
        <f>C8*B8</f>
        <v>0</v>
      </c>
      <c r="E8" s="6">
        <f>IF(C8&lt;=33,"LOW",IF(C8&lt;=66,"MEDIUM","HIGH"))</f>
        <v>0</v>
      </c>
      <c r="F8" s="5"/>
    </row>
    <row r="9" spans="1:6">
      <c r="A9" s="5" t="s">
        <v>38</v>
      </c>
      <c r="B9" s="7">
        <v>0.08</v>
      </c>
      <c r="C9" s="8">
        <v>0</v>
      </c>
      <c r="D9" s="8">
        <f>C9*B9</f>
        <v>0</v>
      </c>
      <c r="E9" s="6">
        <f>IF(C9&lt;=33,"LOW",IF(C9&lt;=66,"MEDIUM","HIGH"))</f>
        <v>0</v>
      </c>
      <c r="F9" s="5"/>
    </row>
    <row r="10" spans="1:6">
      <c r="A10" s="5" t="s">
        <v>44</v>
      </c>
      <c r="B10" s="7">
        <v>0.09</v>
      </c>
      <c r="C10" s="8">
        <v>0</v>
      </c>
      <c r="D10" s="8">
        <f>C10*B10</f>
        <v>0</v>
      </c>
      <c r="E10" s="6">
        <f>IF(C10&lt;=33,"LOW",IF(C10&lt;=66,"MEDIUM","HIGH"))</f>
        <v>0</v>
      </c>
      <c r="F10" s="5"/>
    </row>
    <row r="11" spans="1:6">
      <c r="A11" s="5" t="s">
        <v>52</v>
      </c>
      <c r="B11" s="7">
        <v>0.1</v>
      </c>
      <c r="C11" s="8">
        <v>0</v>
      </c>
      <c r="D11" s="8">
        <f>C11*B11</f>
        <v>0</v>
      </c>
      <c r="E11" s="6">
        <f>IF(C11&lt;=33,"LOW",IF(C11&lt;=66,"MEDIUM","HIGH"))</f>
        <v>0</v>
      </c>
      <c r="F11" s="5"/>
    </row>
    <row r="12" spans="1:6">
      <c r="A12" s="5" t="s">
        <v>58</v>
      </c>
      <c r="B12" s="7">
        <v>0.08</v>
      </c>
      <c r="C12" s="8">
        <v>0</v>
      </c>
      <c r="D12" s="8">
        <f>C12*B12</f>
        <v>0</v>
      </c>
      <c r="E12" s="6">
        <f>IF(C12&lt;=33,"LOW",IF(C12&lt;=66,"MEDIUM","HIGH"))</f>
        <v>0</v>
      </c>
      <c r="F12" s="5"/>
    </row>
    <row r="13" spans="1:6">
      <c r="A13" s="5" t="s">
        <v>64</v>
      </c>
      <c r="B13" s="7">
        <v>0.07000000000000001</v>
      </c>
      <c r="C13" s="8">
        <v>0</v>
      </c>
      <c r="D13" s="8">
        <f>C13*B13</f>
        <v>0</v>
      </c>
      <c r="E13" s="6">
        <f>IF(C13&lt;=33,"LOW",IF(C13&lt;=66,"MEDIUM","HIGH"))</f>
        <v>0</v>
      </c>
      <c r="F13" s="5"/>
    </row>
    <row r="14" spans="1:6">
      <c r="A14" s="5" t="s">
        <v>72</v>
      </c>
      <c r="B14" s="7">
        <v>0.07000000000000001</v>
      </c>
      <c r="C14" s="8">
        <v>0</v>
      </c>
      <c r="D14" s="8">
        <f>C14*B14</f>
        <v>0</v>
      </c>
      <c r="E14" s="6">
        <f>IF(C14&lt;=33,"LOW",IF(C14&lt;=66,"MEDIUM","HIGH"))</f>
        <v>0</v>
      </c>
      <c r="F14" s="5"/>
    </row>
    <row r="15" spans="1:6">
      <c r="A15" s="5" t="s">
        <v>78</v>
      </c>
      <c r="B15" s="7">
        <v>0.07000000000000001</v>
      </c>
      <c r="C15" s="8">
        <v>0</v>
      </c>
      <c r="D15" s="8">
        <f>C15*B15</f>
        <v>0</v>
      </c>
      <c r="E15" s="6">
        <f>IF(C15&lt;=33,"LOW",IF(C15&lt;=66,"MEDIUM","HIGH"))</f>
        <v>0</v>
      </c>
      <c r="F15" s="5"/>
    </row>
    <row r="16" spans="1:6">
      <c r="A16" s="5" t="s">
        <v>84</v>
      </c>
      <c r="B16" s="7">
        <v>0.06</v>
      </c>
      <c r="C16" s="8">
        <v>0</v>
      </c>
      <c r="D16" s="8">
        <f>C16*B16</f>
        <v>0</v>
      </c>
      <c r="E16" s="6">
        <f>IF(C16&lt;=33,"LOW",IF(C16&lt;=66,"MEDIUM","HIGH"))</f>
        <v>0</v>
      </c>
      <c r="F16" s="5"/>
    </row>
    <row r="18" spans="1:6">
      <c r="A18" s="3" t="s">
        <v>96</v>
      </c>
      <c r="B18" s="3"/>
      <c r="C18" s="3"/>
      <c r="D18" s="3"/>
      <c r="E18" s="3"/>
      <c r="F18" s="3"/>
    </row>
    <row r="19" spans="1:6">
      <c r="A19" s="9" t="s">
        <v>97</v>
      </c>
      <c r="B19" s="7">
        <f>SUM(B5:B7)</f>
        <v>0</v>
      </c>
      <c r="C19" s="6"/>
      <c r="D19" s="10">
        <f>SUM(D5:D7)</f>
        <v>0</v>
      </c>
      <c r="E19" s="6"/>
      <c r="F19" s="5" t="s">
        <v>98</v>
      </c>
    </row>
    <row r="20" spans="1:6">
      <c r="A20" s="9" t="s">
        <v>99</v>
      </c>
      <c r="B20" s="7">
        <f>SUM(B8:B10)</f>
        <v>0</v>
      </c>
      <c r="C20" s="6"/>
      <c r="D20" s="10">
        <f>SUM(D8:D10)</f>
        <v>0</v>
      </c>
      <c r="E20" s="6"/>
      <c r="F20" s="5" t="s">
        <v>100</v>
      </c>
    </row>
    <row r="21" spans="1:6">
      <c r="A21" s="9" t="s">
        <v>101</v>
      </c>
      <c r="B21" s="7">
        <f>SUM(B11:B13)</f>
        <v>0</v>
      </c>
      <c r="C21" s="6"/>
      <c r="D21" s="10">
        <f>SUM(D11:D13)</f>
        <v>0</v>
      </c>
      <c r="E21" s="6"/>
      <c r="F21" s="5" t="s">
        <v>100</v>
      </c>
    </row>
    <row r="22" spans="1:6">
      <c r="A22" s="9" t="s">
        <v>102</v>
      </c>
      <c r="B22" s="7">
        <f>SUM(B14:B16)</f>
        <v>0</v>
      </c>
      <c r="C22" s="6"/>
      <c r="D22" s="10">
        <f>SUM(D14:D16)</f>
        <v>0</v>
      </c>
      <c r="E22" s="6"/>
      <c r="F22" s="5" t="s">
        <v>103</v>
      </c>
    </row>
    <row r="24" spans="1:6">
      <c r="A24" s="3" t="s">
        <v>104</v>
      </c>
      <c r="B24" s="7">
        <f>SUM(B5:B16)</f>
        <v>0</v>
      </c>
      <c r="C24" s="6"/>
      <c r="D24" s="10">
        <f>SUM(D5:D16)</f>
        <v>0</v>
      </c>
      <c r="E24" s="3"/>
      <c r="F24" s="3"/>
    </row>
    <row r="25" spans="1:6">
      <c r="A25" s="5" t="s">
        <v>105</v>
      </c>
      <c r="B25" s="5" t="s">
        <v>106</v>
      </c>
      <c r="C25" s="5"/>
      <c r="D25" s="5"/>
      <c r="E25" s="5"/>
      <c r="F25" s="5"/>
    </row>
    <row r="26" spans="1:6">
      <c r="A26" s="3" t="s">
        <v>107</v>
      </c>
      <c r="B26" s="3"/>
      <c r="C26" s="3"/>
      <c r="D26" s="10">
        <f>D22</f>
        <v>0</v>
      </c>
      <c r="E26" s="6">
        <f>IF(D23&lt;=33,"LOW",IF(D23&lt;=66,"MEDIUM","HIGH"))</f>
        <v>0</v>
      </c>
      <c r="F26" s="5"/>
    </row>
    <row r="27" spans="1:6">
      <c r="A27" s="3" t="s">
        <v>108</v>
      </c>
      <c r="B27" s="6">
        <f>IF(D23&lt;=33,"✅ APPROVE",IF(D23&lt;=50,"✅ APPROVE with minor conditions",IF(D23&lt;=66,"⚠️ CONDITIONAL",IF(D23&lt;=80,"⚠️ CONDITIONAL with safeguards","❌ REJECT"))))</f>
        <v>0</v>
      </c>
      <c r="C27" s="6"/>
      <c r="D27" s="6"/>
      <c r="E27" s="6"/>
      <c r="F27" s="6"/>
    </row>
  </sheetData>
  <mergeCells count="8">
    <mergeCell ref="A1:F1"/>
    <mergeCell ref="A2:F2"/>
    <mergeCell ref="B18:F18"/>
    <mergeCell ref="E24:F24"/>
    <mergeCell ref="B25:D25"/>
    <mergeCell ref="E25:F25"/>
    <mergeCell ref="B26:C26"/>
    <mergeCell ref="B27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8BB78"/>
  </sheetPr>
  <dimension ref="A1:F33"/>
  <sheetViews>
    <sheetView workbookViewId="0"/>
  </sheetViews>
  <sheetFormatPr defaultRowHeight="15"/>
  <cols>
    <col min="1" max="1" width="28.7109375" customWidth="1"/>
    <col min="2" max="2" width="10.7109375" customWidth="1"/>
    <col min="3" max="3" width="12.7109375" customWidth="1"/>
    <col min="4" max="4" width="15.7109375" customWidth="1"/>
    <col min="5" max="5" width="12.7109375" customWidth="1"/>
    <col min="6" max="6" width="40.7109375" customWidth="1"/>
  </cols>
  <sheetData>
    <row r="1" spans="1:6">
      <c r="A1" s="1" t="s">
        <v>109</v>
      </c>
      <c r="B1" s="1"/>
      <c r="C1" s="1"/>
      <c r="D1" s="1"/>
      <c r="E1" s="1"/>
      <c r="F1" s="1"/>
    </row>
    <row r="2" spans="1:6">
      <c r="A2" s="2" t="s">
        <v>110</v>
      </c>
      <c r="B2" s="2"/>
      <c r="C2" s="2"/>
      <c r="D2" s="2"/>
      <c r="E2" s="2"/>
      <c r="F2" s="2"/>
    </row>
    <row r="4" spans="1:6">
      <c r="A4" s="3" t="s">
        <v>3</v>
      </c>
      <c r="B4" s="3" t="s">
        <v>4</v>
      </c>
      <c r="C4" s="3" t="s">
        <v>111</v>
      </c>
      <c r="D4" s="3" t="s">
        <v>112</v>
      </c>
      <c r="E4" s="3" t="s">
        <v>95</v>
      </c>
      <c r="F4" s="3" t="s">
        <v>113</v>
      </c>
    </row>
    <row r="5" spans="1:6">
      <c r="A5" s="5" t="s">
        <v>11</v>
      </c>
      <c r="B5" s="7">
        <v>0.1</v>
      </c>
      <c r="C5" s="10">
        <v>45</v>
      </c>
      <c r="D5" s="10">
        <f>C5*B5</f>
        <v>0</v>
      </c>
      <c r="E5" s="11" t="s">
        <v>114</v>
      </c>
      <c r="F5" s="5" t="s">
        <v>115</v>
      </c>
    </row>
    <row r="6" spans="1:6">
      <c r="A6" s="5" t="s">
        <v>18</v>
      </c>
      <c r="B6" s="7">
        <v>0.1</v>
      </c>
      <c r="C6" s="10">
        <v>55</v>
      </c>
      <c r="D6" s="10">
        <f>C6*B6</f>
        <v>0</v>
      </c>
      <c r="E6" s="11" t="s">
        <v>114</v>
      </c>
      <c r="F6" s="5" t="s">
        <v>116</v>
      </c>
    </row>
    <row r="7" spans="1:6">
      <c r="A7" s="5" t="s">
        <v>24</v>
      </c>
      <c r="B7" s="7">
        <v>0.1</v>
      </c>
      <c r="C7" s="10">
        <v>40</v>
      </c>
      <c r="D7" s="10">
        <f>C7*B7</f>
        <v>0</v>
      </c>
      <c r="E7" s="11" t="s">
        <v>114</v>
      </c>
      <c r="F7" s="5" t="s">
        <v>117</v>
      </c>
    </row>
    <row r="8" spans="1:6">
      <c r="A8" s="5" t="s">
        <v>31</v>
      </c>
      <c r="B8" s="7">
        <v>0.08</v>
      </c>
      <c r="C8" s="10">
        <v>35</v>
      </c>
      <c r="D8" s="10">
        <f>C8*B8</f>
        <v>0</v>
      </c>
      <c r="E8" s="11" t="s">
        <v>114</v>
      </c>
      <c r="F8" s="5" t="s">
        <v>118</v>
      </c>
    </row>
    <row r="9" spans="1:6">
      <c r="A9" s="5" t="s">
        <v>38</v>
      </c>
      <c r="B9" s="7">
        <v>0.08</v>
      </c>
      <c r="C9" s="10">
        <v>30</v>
      </c>
      <c r="D9" s="10">
        <f>C9*B9</f>
        <v>0</v>
      </c>
      <c r="E9" s="12" t="s">
        <v>119</v>
      </c>
      <c r="F9" s="5" t="s">
        <v>120</v>
      </c>
    </row>
    <row r="10" spans="1:6">
      <c r="A10" s="5" t="s">
        <v>44</v>
      </c>
      <c r="B10" s="7">
        <v>0.09</v>
      </c>
      <c r="C10" s="10">
        <v>25</v>
      </c>
      <c r="D10" s="10">
        <f>C10*B10</f>
        <v>0</v>
      </c>
      <c r="E10" s="12" t="s">
        <v>119</v>
      </c>
      <c r="F10" s="5" t="s">
        <v>121</v>
      </c>
    </row>
    <row r="11" spans="1:6">
      <c r="A11" s="5" t="s">
        <v>52</v>
      </c>
      <c r="B11" s="7">
        <v>0.1</v>
      </c>
      <c r="C11" s="10">
        <v>15</v>
      </c>
      <c r="D11" s="10">
        <f>C11*B11</f>
        <v>0</v>
      </c>
      <c r="E11" s="12" t="s">
        <v>119</v>
      </c>
      <c r="F11" s="5" t="s">
        <v>122</v>
      </c>
    </row>
    <row r="12" spans="1:6">
      <c r="A12" s="5" t="s">
        <v>58</v>
      </c>
      <c r="B12" s="7">
        <v>0.08</v>
      </c>
      <c r="C12" s="10">
        <v>5</v>
      </c>
      <c r="D12" s="10">
        <f>C12*B12</f>
        <v>0</v>
      </c>
      <c r="E12" s="12" t="s">
        <v>119</v>
      </c>
      <c r="F12" s="5" t="s">
        <v>123</v>
      </c>
    </row>
    <row r="13" spans="1:6">
      <c r="A13" s="5" t="s">
        <v>64</v>
      </c>
      <c r="B13" s="7">
        <v>0.07000000000000001</v>
      </c>
      <c r="C13" s="10">
        <v>20</v>
      </c>
      <c r="D13" s="10">
        <f>C13*B13</f>
        <v>0</v>
      </c>
      <c r="E13" s="12" t="s">
        <v>119</v>
      </c>
      <c r="F13" s="5" t="s">
        <v>124</v>
      </c>
    </row>
    <row r="14" spans="1:6">
      <c r="A14" s="5" t="s">
        <v>72</v>
      </c>
      <c r="B14" s="7">
        <v>0.07000000000000001</v>
      </c>
      <c r="C14" s="10">
        <v>50</v>
      </c>
      <c r="D14" s="10">
        <f>C14*B14</f>
        <v>0</v>
      </c>
      <c r="E14" s="11" t="s">
        <v>114</v>
      </c>
      <c r="F14" s="5" t="s">
        <v>125</v>
      </c>
    </row>
    <row r="15" spans="1:6">
      <c r="A15" s="5" t="s">
        <v>78</v>
      </c>
      <c r="B15" s="7">
        <v>0.07000000000000001</v>
      </c>
      <c r="C15" s="10">
        <v>40</v>
      </c>
      <c r="D15" s="10">
        <f>C15*B15</f>
        <v>0</v>
      </c>
      <c r="E15" s="11" t="s">
        <v>114</v>
      </c>
      <c r="F15" s="5" t="s">
        <v>126</v>
      </c>
    </row>
    <row r="16" spans="1:6">
      <c r="A16" s="5" t="s">
        <v>84</v>
      </c>
      <c r="B16" s="7">
        <v>0.06</v>
      </c>
      <c r="C16" s="10">
        <v>30</v>
      </c>
      <c r="D16" s="10">
        <f>C16*B16</f>
        <v>0</v>
      </c>
      <c r="E16" s="12" t="s">
        <v>119</v>
      </c>
      <c r="F16" s="5" t="s">
        <v>127</v>
      </c>
    </row>
    <row r="18" spans="1:6">
      <c r="A18" s="3" t="s">
        <v>96</v>
      </c>
      <c r="B18" s="3"/>
      <c r="C18" s="3"/>
      <c r="D18" s="3"/>
      <c r="E18" s="3"/>
      <c r="F18" s="3"/>
    </row>
    <row r="19" spans="1:6">
      <c r="A19" s="9" t="s">
        <v>97</v>
      </c>
      <c r="B19" s="7">
        <v>0.3</v>
      </c>
      <c r="C19" s="6"/>
      <c r="D19" s="10">
        <f>SUM(D5:D7)</f>
        <v>0</v>
      </c>
      <c r="E19" s="11" t="s">
        <v>114</v>
      </c>
      <c r="F19" s="5" t="s">
        <v>128</v>
      </c>
    </row>
    <row r="20" spans="1:6">
      <c r="A20" s="9" t="s">
        <v>99</v>
      </c>
      <c r="B20" s="7">
        <v>0.25</v>
      </c>
      <c r="C20" s="6"/>
      <c r="D20" s="10">
        <f>SUM(D8:D10)</f>
        <v>0</v>
      </c>
      <c r="E20" s="12" t="s">
        <v>119</v>
      </c>
      <c r="F20" s="5" t="s">
        <v>129</v>
      </c>
    </row>
    <row r="21" spans="1:6">
      <c r="A21" s="9" t="s">
        <v>101</v>
      </c>
      <c r="B21" s="7">
        <v>0.25</v>
      </c>
      <c r="C21" s="6"/>
      <c r="D21" s="10">
        <f>SUM(D11:D13)</f>
        <v>0</v>
      </c>
      <c r="E21" s="12" t="s">
        <v>119</v>
      </c>
      <c r="F21" s="5" t="s">
        <v>130</v>
      </c>
    </row>
    <row r="22" spans="1:6">
      <c r="A22" s="9" t="s">
        <v>102</v>
      </c>
      <c r="B22" s="7">
        <v>0.2</v>
      </c>
      <c r="C22" s="6"/>
      <c r="D22" s="10">
        <f>SUM(D14:D16)</f>
        <v>0</v>
      </c>
      <c r="E22" s="11" t="s">
        <v>114</v>
      </c>
      <c r="F22" s="5" t="s">
        <v>131</v>
      </c>
    </row>
    <row r="24" spans="1:6">
      <c r="A24" s="3" t="s">
        <v>104</v>
      </c>
      <c r="B24" s="7">
        <v>1</v>
      </c>
      <c r="C24" s="6"/>
      <c r="D24" s="10">
        <f>SUM(D5:D16)</f>
        <v>0</v>
      </c>
      <c r="E24" s="3"/>
      <c r="F24" s="3"/>
    </row>
    <row r="25" spans="1:6">
      <c r="A25" s="5" t="s">
        <v>105</v>
      </c>
      <c r="B25" s="5" t="s">
        <v>132</v>
      </c>
      <c r="C25" s="5"/>
      <c r="D25" s="5"/>
      <c r="E25" s="5"/>
      <c r="F25" s="5"/>
    </row>
    <row r="26" spans="1:6">
      <c r="A26" s="3" t="s">
        <v>107</v>
      </c>
      <c r="B26" s="3"/>
      <c r="C26" s="3"/>
      <c r="D26" s="10">
        <v>48</v>
      </c>
      <c r="E26" s="11" t="s">
        <v>114</v>
      </c>
      <c r="F26" s="5" t="s">
        <v>133</v>
      </c>
    </row>
    <row r="27" spans="1:6">
      <c r="A27" s="3" t="s">
        <v>108</v>
      </c>
      <c r="B27" s="6" t="s">
        <v>134</v>
      </c>
      <c r="C27" s="6"/>
      <c r="D27" s="6"/>
      <c r="E27" s="6"/>
      <c r="F27" s="6"/>
    </row>
    <row r="29" spans="1:6">
      <c r="A29" s="3" t="s">
        <v>135</v>
      </c>
      <c r="B29" s="3"/>
      <c r="C29" s="3"/>
      <c r="D29" s="3"/>
      <c r="E29" s="3"/>
      <c r="F29" s="3"/>
    </row>
    <row r="30" spans="1:6">
      <c r="A30" s="5" t="s">
        <v>136</v>
      </c>
      <c r="B30" s="5"/>
      <c r="C30" s="5"/>
      <c r="D30" s="5"/>
      <c r="E30" s="5"/>
      <c r="F30" s="5"/>
    </row>
    <row r="31" spans="1:6">
      <c r="A31" s="5" t="s">
        <v>137</v>
      </c>
      <c r="B31" s="5"/>
      <c r="C31" s="5"/>
      <c r="D31" s="5"/>
      <c r="E31" s="5"/>
      <c r="F31" s="5"/>
    </row>
    <row r="32" spans="1:6">
      <c r="A32" s="5" t="s">
        <v>138</v>
      </c>
      <c r="B32" s="5"/>
      <c r="C32" s="5"/>
      <c r="D32" s="5"/>
      <c r="E32" s="5"/>
      <c r="F32" s="5"/>
    </row>
    <row r="33" spans="1:6">
      <c r="A33" s="5" t="s">
        <v>139</v>
      </c>
      <c r="B33" s="5"/>
      <c r="C33" s="5"/>
      <c r="D33" s="5"/>
      <c r="E33" s="5"/>
      <c r="F33" s="5"/>
    </row>
  </sheetData>
  <mergeCells count="12">
    <mergeCell ref="A1:F1"/>
    <mergeCell ref="A2:F2"/>
    <mergeCell ref="B18:F18"/>
    <mergeCell ref="E24:F24"/>
    <mergeCell ref="B25:F25"/>
    <mergeCell ref="B26:C26"/>
    <mergeCell ref="B27:F27"/>
    <mergeCell ref="B29:F29"/>
    <mergeCell ref="A30:F30"/>
    <mergeCell ref="A31:F31"/>
    <mergeCell ref="A32:F32"/>
    <mergeCell ref="A33:F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D8936"/>
  </sheetPr>
  <dimension ref="A1:E21"/>
  <sheetViews>
    <sheetView workbookViewId="0"/>
  </sheetViews>
  <sheetFormatPr defaultRowHeight="15"/>
  <cols>
    <col min="1" max="3" width="20.7109375" customWidth="1"/>
    <col min="4" max="4" width="35.7109375" customWidth="1"/>
    <col min="5" max="5" width="20.7109375" customWidth="1"/>
  </cols>
  <sheetData>
    <row r="1" spans="1:5">
      <c r="A1" s="1" t="s">
        <v>140</v>
      </c>
      <c r="B1" s="1"/>
      <c r="C1" s="1"/>
      <c r="D1" s="1"/>
      <c r="E1" s="1"/>
    </row>
    <row r="4" spans="1:5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</row>
    <row r="5" spans="1:5">
      <c r="A5" s="6" t="s">
        <v>146</v>
      </c>
      <c r="B5" s="6" t="s">
        <v>119</v>
      </c>
      <c r="C5" s="6" t="s">
        <v>147</v>
      </c>
      <c r="D5" s="5" t="s">
        <v>148</v>
      </c>
      <c r="E5" s="5" t="s">
        <v>149</v>
      </c>
    </row>
    <row r="6" spans="1:5">
      <c r="A6" s="6" t="s">
        <v>150</v>
      </c>
      <c r="B6" s="6" t="s">
        <v>151</v>
      </c>
      <c r="C6" s="6" t="s">
        <v>152</v>
      </c>
      <c r="D6" s="5" t="s">
        <v>153</v>
      </c>
      <c r="E6" s="5" t="s">
        <v>149</v>
      </c>
    </row>
    <row r="7" spans="1:5">
      <c r="A7" s="6" t="s">
        <v>154</v>
      </c>
      <c r="B7" s="6" t="s">
        <v>114</v>
      </c>
      <c r="C7" s="6" t="s">
        <v>155</v>
      </c>
      <c r="D7" s="5" t="s">
        <v>156</v>
      </c>
      <c r="E7" s="5" t="s">
        <v>149</v>
      </c>
    </row>
    <row r="8" spans="1:5">
      <c r="A8" s="6" t="s">
        <v>157</v>
      </c>
      <c r="B8" s="6" t="s">
        <v>158</v>
      </c>
      <c r="C8" s="6" t="s">
        <v>159</v>
      </c>
      <c r="D8" s="5" t="s">
        <v>160</v>
      </c>
      <c r="E8" s="5" t="s">
        <v>161</v>
      </c>
    </row>
    <row r="9" spans="1:5">
      <c r="A9" s="6" t="s">
        <v>162</v>
      </c>
      <c r="B9" s="6" t="s">
        <v>163</v>
      </c>
      <c r="C9" s="6" t="s">
        <v>164</v>
      </c>
      <c r="D9" s="5" t="s">
        <v>165</v>
      </c>
      <c r="E9" s="5" t="s">
        <v>166</v>
      </c>
    </row>
    <row r="12" spans="1:5">
      <c r="A12" s="3" t="s">
        <v>167</v>
      </c>
      <c r="B12" s="3"/>
      <c r="C12" s="3"/>
      <c r="D12" s="3"/>
      <c r="E12" s="3"/>
    </row>
    <row r="13" spans="1:5">
      <c r="A13" s="9" t="s">
        <v>168</v>
      </c>
      <c r="B13" s="9" t="s">
        <v>169</v>
      </c>
      <c r="C13" s="9" t="s">
        <v>170</v>
      </c>
      <c r="D13" s="9"/>
      <c r="E13" s="9"/>
    </row>
    <row r="14" spans="1:5">
      <c r="A14" s="5" t="s">
        <v>171</v>
      </c>
      <c r="B14" s="5" t="s">
        <v>172</v>
      </c>
      <c r="C14" s="5" t="s">
        <v>173</v>
      </c>
      <c r="D14" s="5"/>
      <c r="E14" s="5"/>
    </row>
    <row r="15" spans="1:5">
      <c r="A15" s="5" t="s">
        <v>174</v>
      </c>
      <c r="B15" s="5" t="s">
        <v>175</v>
      </c>
      <c r="C15" s="5" t="s">
        <v>176</v>
      </c>
      <c r="D15" s="5"/>
      <c r="E15" s="5"/>
    </row>
    <row r="17" spans="1:5">
      <c r="A17" s="3" t="s">
        <v>177</v>
      </c>
      <c r="B17" s="3"/>
      <c r="C17" s="3"/>
      <c r="D17" s="3"/>
      <c r="E17" s="3"/>
    </row>
    <row r="18" spans="1:5">
      <c r="A18" s="9" t="s">
        <v>178</v>
      </c>
      <c r="B18" s="9" t="s">
        <v>179</v>
      </c>
      <c r="C18" s="9" t="s">
        <v>145</v>
      </c>
      <c r="D18" s="9" t="s">
        <v>9</v>
      </c>
      <c r="E18" s="9"/>
    </row>
    <row r="19" spans="1:5">
      <c r="A19" s="5" t="s">
        <v>180</v>
      </c>
      <c r="B19" s="6" t="s">
        <v>181</v>
      </c>
      <c r="C19" s="6" t="s">
        <v>149</v>
      </c>
      <c r="D19" s="5" t="s">
        <v>182</v>
      </c>
      <c r="E19" s="5"/>
    </row>
    <row r="20" spans="1:5">
      <c r="A20" s="5" t="s">
        <v>183</v>
      </c>
      <c r="B20" s="6" t="s">
        <v>181</v>
      </c>
      <c r="C20" s="6" t="s">
        <v>149</v>
      </c>
      <c r="D20" s="5" t="s">
        <v>184</v>
      </c>
      <c r="E20" s="5"/>
    </row>
    <row r="21" spans="1:5">
      <c r="A21" s="5" t="s">
        <v>185</v>
      </c>
      <c r="B21" s="6" t="s">
        <v>186</v>
      </c>
      <c r="C21" s="6" t="s">
        <v>161</v>
      </c>
      <c r="D21" s="5" t="s">
        <v>187</v>
      </c>
      <c r="E21" s="5"/>
    </row>
  </sheetData>
  <mergeCells count="10">
    <mergeCell ref="A1:E1"/>
    <mergeCell ref="A12:E12"/>
    <mergeCell ref="C13:E13"/>
    <mergeCell ref="C14:E14"/>
    <mergeCell ref="C15:E15"/>
    <mergeCell ref="A17:E17"/>
    <mergeCell ref="D18:E18"/>
    <mergeCell ref="D19:E19"/>
    <mergeCell ref="D20:E20"/>
    <mergeCell ref="D21:E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18096"/>
  </sheetPr>
  <dimension ref="A1:C7"/>
  <sheetViews>
    <sheetView workbookViewId="0"/>
  </sheetViews>
  <sheetFormatPr defaultRowHeight="15"/>
  <cols>
    <col min="1" max="1" width="15.7109375" customWidth="1"/>
    <col min="2" max="2" width="40.7109375" customWidth="1"/>
    <col min="3" max="3" width="25.7109375" customWidth="1"/>
  </cols>
  <sheetData>
    <row r="1" spans="1:3">
      <c r="A1" s="1" t="s">
        <v>188</v>
      </c>
      <c r="B1" s="1"/>
      <c r="C1" s="1"/>
    </row>
    <row r="4" spans="1:3">
      <c r="A4" s="3" t="s">
        <v>142</v>
      </c>
      <c r="B4" s="3" t="s">
        <v>189</v>
      </c>
      <c r="C4" s="3" t="s">
        <v>190</v>
      </c>
    </row>
    <row r="5" spans="1:3" ht="80" customHeight="1">
      <c r="A5" s="5" t="s">
        <v>191</v>
      </c>
      <c r="B5" s="5" t="s">
        <v>192</v>
      </c>
      <c r="C5" s="5" t="s">
        <v>193</v>
      </c>
    </row>
    <row r="6" spans="1:3" ht="80" customHeight="1">
      <c r="A6" s="5" t="s">
        <v>194</v>
      </c>
      <c r="B6" s="5" t="s">
        <v>195</v>
      </c>
      <c r="C6" s="5" t="s">
        <v>196</v>
      </c>
    </row>
    <row r="7" spans="1:3" ht="80" customHeight="1">
      <c r="A7" s="5" t="s">
        <v>197</v>
      </c>
      <c r="B7" s="5" t="s">
        <v>198</v>
      </c>
      <c r="C7" s="5" t="s">
        <v>199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 Criteria</vt:lpstr>
      <vt:lpstr>Scoring Calculator</vt:lpstr>
      <vt:lpstr>Example - Nel ASA</vt:lpstr>
      <vt:lpstr>Rating Reference</vt:lpstr>
      <vt:lpstr>Mitigation Conditions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2026-03-11T09:05:03Z</dcterms:created>
  <dcterms:modified xsi:type="dcterms:W3CDTF">2026-03-11T09:05:03Z</dcterms:modified>
</cp:coreProperties>
</file>