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Use Case Value Register" sheetId="1" state="visible" r:id="rId1"/>
    <sheet xmlns:r="http://schemas.openxmlformats.org/officeDocument/2006/relationships" name="🎯 Summary for D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€#,##0"/>
    <numFmt numFmtId="166" formatCode="€#,##0/yr"/>
    <numFmt numFmtId="167" formatCode="0.0&quot;x&quot;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2D3A4A"/>
      <sz val="10"/>
    </font>
    <font>
      <name val="Calibri"/>
      <b val="1"/>
      <color rgb="002D3A4A"/>
      <sz val="11"/>
    </font>
    <font>
      <name val="Calibri"/>
      <color rgb="002D3A4A"/>
      <sz val="10"/>
    </font>
    <font>
      <name val="Calibri"/>
      <i val="1"/>
      <color rgb="00718096"/>
      <sz val="10"/>
    </font>
    <font>
      <name val="Calibri"/>
      <b val="1"/>
      <color rgb="00FFFFFF"/>
      <sz val="9"/>
    </font>
    <font>
      <name val="Calibri"/>
      <color rgb="002D3A4A"/>
      <sz val="9"/>
    </font>
    <font>
      <name val="Calibri"/>
      <i val="1"/>
      <color rgb="00718096"/>
      <sz val="8"/>
    </font>
    <font>
      <name val="Calibri"/>
      <b val="1"/>
      <color rgb="0027AE60"/>
      <sz val="10"/>
    </font>
    <font>
      <name val="Calibri"/>
      <b val="1"/>
      <color rgb="0027AE60"/>
      <sz val="9"/>
    </font>
    <font>
      <name val="Calibri"/>
      <i val="1"/>
      <color rgb="002D3A4A"/>
      <sz val="8"/>
    </font>
    <font>
      <name val="Calibri"/>
      <b val="1"/>
      <color rgb="00002147"/>
      <sz val="10"/>
    </font>
    <font>
      <name val="Calibri"/>
      <color rgb="00D97F06"/>
      <sz val="10"/>
    </font>
    <font>
      <name val="Calibri"/>
      <b val="1"/>
      <color rgb="0027AE60"/>
      <sz val="11"/>
    </font>
    <font>
      <name val="Calibri"/>
      <b val="1"/>
      <color rgb="00D97F06"/>
      <sz val="9"/>
    </font>
    <font>
      <name val="Calibri"/>
      <b val="1"/>
      <color rgb="00C0392B"/>
      <sz val="9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i val="1"/>
      <color rgb="002D3A4A"/>
      <sz val="9"/>
    </font>
  </fonts>
  <fills count="11">
    <fill>
      <patternFill/>
    </fill>
    <fill>
      <patternFill patternType="gray125"/>
    </fill>
    <fill>
      <patternFill patternType="solid">
        <fgColor rgb="00002147"/>
      </patternFill>
    </fill>
    <fill>
      <patternFill patternType="solid">
        <fgColor rgb="002B6CB0"/>
      </patternFill>
    </fill>
    <fill>
      <patternFill patternType="solid">
        <fgColor rgb="00EBF4FF"/>
      </patternFill>
    </fill>
    <fill>
      <patternFill patternType="solid">
        <fgColor rgb="00FFFACD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D1F2EB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12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165" fontId="16" fillId="9" borderId="1" applyAlignment="1" pivotButton="0" quotePrefix="0" xfId="0">
      <alignment horizontal="center" vertical="center"/>
    </xf>
    <xf numFmtId="166" fontId="16" fillId="9" borderId="1" applyAlignment="1" pivotButton="0" quotePrefix="0" xfId="0">
      <alignment horizontal="center" vertical="center"/>
    </xf>
    <xf numFmtId="165" fontId="17" fillId="7" borderId="1" applyAlignment="1" pivotButton="0" quotePrefix="0" xfId="0">
      <alignment horizontal="center" vertical="center"/>
    </xf>
    <xf numFmtId="167" fontId="17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right" vertical="center"/>
    </xf>
    <xf numFmtId="165" fontId="21" fillId="2" borderId="1" applyAlignment="1" pivotButton="0" quotePrefix="0" xfId="0">
      <alignment horizontal="center" vertical="center"/>
    </xf>
    <xf numFmtId="167" fontId="21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165" fontId="7" fillId="10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5" fontId="2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0" workbookViewId="0">
      <pane xSplit="2" ySplit="30" topLeftCell="C3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24" customWidth="1" min="4" max="4"/>
    <col width="18" customWidth="1" min="5" max="5"/>
    <col width="38" customWidth="1" min="6" max="6"/>
    <col width="15" customWidth="1" min="7" max="7"/>
    <col width="15" customWidth="1" min="8" max="8"/>
    <col width="15" customWidth="1" min="9" max="9"/>
    <col width="10" customWidth="1" min="10" max="10"/>
    <col width="16" customWidth="1" min="11" max="11"/>
    <col width="9" customWidth="1" min="12" max="12"/>
    <col width="11" customWidth="1" min="13" max="13"/>
    <col width="7" customWidth="1" min="14" max="14"/>
    <col width="13" customWidth="1" min="15" max="15"/>
    <col width="13" customWidth="1" min="16" max="16"/>
    <col width="16" customWidth="1" min="17" max="17"/>
    <col width="15" customWidth="1" min="18" max="18"/>
    <col width="7" customWidth="1" min="19" max="19"/>
    <col width="38" customWidth="1" min="20" max="20"/>
  </cols>
  <sheetData>
    <row r="1" ht="22" customHeight="1">
      <c r="A1" s="1" t="inlineStr">
        <is>
          <t>STATKRAFT PROCUREMENT AI — COMPREHENSIVE USE CASE VALUE REGISTER  |  Based on Qwen 35B Market Research + Internal Benchmarks</t>
        </is>
      </c>
    </row>
    <row r="2" ht="22" customHeight="1"/>
    <row r="3">
      <c r="A3" s="2" t="inlineStr">
        <is>
          <t>Prepared: March 2026  |  Research Sources: McKinsey, BCG, Hackett Group, Equinor, Zip, Coupa, Resilinc, Ironclad, Fairmarkit, Arkestro, SAP, Jaggaer  |  All EUR values based on €500M annual spend, 45 FTE, €120K FTE cost</t>
        </is>
      </c>
    </row>
    <row r="5" ht="20" customHeight="1">
      <c r="A5" s="3" t="inlineStr">
        <is>
          <t xml:space="preserve">  ⚙️  KEY INPUTS — Change yellow cells to reflect Statkraft actuals</t>
        </is>
      </c>
    </row>
    <row r="6">
      <c r="A6" s="4" t="inlineStr">
        <is>
          <t>Input Parameter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Source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5" t="inlineStr">
        <is>
          <t>Annual procurement spend (EUR)</t>
        </is>
      </c>
      <c r="B7" s="6" t="n">
        <v>500000000</v>
      </c>
      <c r="C7" s="7" t="inlineStr">
        <is>
          <t>EUR</t>
        </is>
      </c>
      <c r="D7" s="8" t="inlineStr">
        <is>
          <t>Statkraft estimate</t>
        </is>
      </c>
    </row>
    <row r="8">
      <c r="A8" s="5" t="inlineStr">
        <is>
          <t>Procurement headcount (FTEs)</t>
        </is>
      </c>
      <c r="B8" s="9" t="n">
        <v>45</v>
      </c>
      <c r="C8" s="7" t="inlineStr">
        <is>
          <t>FTEs</t>
        </is>
      </c>
      <c r="D8" s="8" t="inlineStr">
        <is>
          <t>Statkraft internal</t>
        </is>
      </c>
    </row>
    <row r="9">
      <c r="A9" s="5" t="inlineStr">
        <is>
          <t>Avg FTE fully-loaded cost (EUR/yr)</t>
        </is>
      </c>
      <c r="B9" s="6" t="n">
        <v>120000</v>
      </c>
      <c r="C9" s="7" t="inlineStr">
        <is>
          <t>EUR/yr</t>
        </is>
      </c>
      <c r="D9" s="8" t="inlineStr">
        <is>
          <t>Statkraft HR</t>
        </is>
      </c>
    </row>
    <row r="10">
      <c r="A10" s="5" t="inlineStr">
        <is>
          <t>Sourcing events per year</t>
        </is>
      </c>
      <c r="B10" s="9" t="n">
        <v>250</v>
      </c>
      <c r="C10" s="7" t="inlineStr">
        <is>
          <t>events</t>
        </is>
      </c>
      <c r="D10" s="8" t="inlineStr">
        <is>
          <t>Statkraft estimate</t>
        </is>
      </c>
    </row>
    <row r="11">
      <c r="A11" s="5" t="inlineStr">
        <is>
          <t>Avg hours per sourcing event (RFQ→award)</t>
        </is>
      </c>
      <c r="B11" s="9" t="n">
        <v>40</v>
      </c>
      <c r="C11" s="7" t="inlineStr">
        <is>
          <t>hrs</t>
        </is>
      </c>
      <c r="D11" s="8" t="inlineStr">
        <is>
          <t>Industry avg</t>
        </is>
      </c>
    </row>
    <row r="12">
      <c r="A12" s="5" t="inlineStr">
        <is>
          <t>Active contracts in portfolio</t>
        </is>
      </c>
      <c r="B12" s="6" t="n">
        <v>1200</v>
      </c>
      <c r="C12" s="7" t="inlineStr">
        <is>
          <t>contracts</t>
        </is>
      </c>
      <c r="D12" s="8" t="inlineStr">
        <is>
          <t>Statkraft estimate</t>
        </is>
      </c>
    </row>
    <row r="13">
      <c r="A13" s="5" t="inlineStr">
        <is>
          <t>Avg hours to manually review contract</t>
        </is>
      </c>
      <c r="B13" s="9" t="n">
        <v>4</v>
      </c>
      <c r="C13" s="7" t="inlineStr">
        <is>
          <t>hrs</t>
        </is>
      </c>
      <c r="D13" s="8" t="inlineStr">
        <is>
          <t>Luminance benchmark</t>
        </is>
      </c>
    </row>
    <row r="14">
      <c r="A14" s="5" t="inlineStr">
        <is>
          <t>Suppliers actively monitored</t>
        </is>
      </c>
      <c r="B14" s="9" t="n">
        <v>200</v>
      </c>
      <c r="C14" s="7" t="inlineStr">
        <is>
          <t>count</t>
        </is>
      </c>
      <c r="D14" s="8" t="inlineStr">
        <is>
          <t>Statkraft target</t>
        </is>
      </c>
    </row>
    <row r="15">
      <c r="A15" s="5" t="inlineStr">
        <is>
          <t>Annual manual supplier review cost</t>
        </is>
      </c>
      <c r="B15" s="6" t="n">
        <v>150000</v>
      </c>
      <c r="C15" s="7" t="inlineStr">
        <is>
          <t>EUR/yr</t>
        </is>
      </c>
      <c r="D15" s="8" t="inlineStr">
        <is>
          <t>Statkraft estimate</t>
        </is>
      </c>
    </row>
    <row r="16">
      <c r="A16" s="5" t="inlineStr">
        <is>
          <t>Current spend classification accuracy</t>
        </is>
      </c>
      <c r="B16" s="10" t="n">
        <v>0.65</v>
      </c>
      <c r="C16" s="7" t="inlineStr">
        <is>
          <t>%</t>
        </is>
      </c>
      <c r="D16" s="8" t="inlineStr">
        <is>
          <t>Current state</t>
        </is>
      </c>
    </row>
    <row r="17">
      <c r="A17" s="5" t="inlineStr">
        <is>
          <t>MRO/capex emergency premium (% of spend)</t>
        </is>
      </c>
      <c r="B17" s="10" t="n">
        <v>0.03</v>
      </c>
      <c r="C17" s="7" t="inlineStr">
        <is>
          <t>%</t>
        </is>
      </c>
      <c r="D17" s="8" t="inlineStr">
        <is>
          <t>Industry avg</t>
        </is>
      </c>
    </row>
    <row r="18">
      <c r="A18" s="5" t="inlineStr">
        <is>
          <t>Avg hours to build negotiation pack</t>
        </is>
      </c>
      <c r="B18" s="9" t="n">
        <v>8</v>
      </c>
      <c r="C18" s="7" t="inlineStr">
        <is>
          <t>hrs</t>
        </is>
      </c>
      <c r="D18" s="8" t="inlineStr">
        <is>
          <t>Statkraft estimate</t>
        </is>
      </c>
    </row>
    <row r="19">
      <c r="A19" s="5" t="inlineStr">
        <is>
          <t>Category strategies produced/year</t>
        </is>
      </c>
      <c r="B19" s="9" t="n">
        <v>3</v>
      </c>
      <c r="C19" s="7" t="inlineStr">
        <is>
          <t>count</t>
        </is>
      </c>
      <c r="D19" s="8" t="inlineStr">
        <is>
          <t>Statkraft estimate</t>
        </is>
      </c>
    </row>
    <row r="20">
      <c r="A20" s="5" t="inlineStr">
        <is>
          <t>Total capex project spend (EUR/yr)</t>
        </is>
      </c>
      <c r="B20" s="6" t="n">
        <v>200000000</v>
      </c>
      <c r="C20" s="7" t="inlineStr">
        <is>
          <t>EUR/yr</t>
        </is>
      </c>
      <c r="D20" s="8" t="inlineStr">
        <is>
          <t>Statkraft estimate</t>
        </is>
      </c>
    </row>
    <row r="21">
      <c r="A21" s="5" t="inlineStr">
        <is>
          <t>Avg project cost overrun % (energy sector)</t>
        </is>
      </c>
      <c r="B21" s="10" t="n">
        <v>0.4</v>
      </c>
      <c r="C21" s="7" t="inlineStr">
        <is>
          <t>%</t>
        </is>
      </c>
      <c r="D21" s="8" t="inlineStr">
        <is>
          <t>ScienceDirect 2025 — 662 projects</t>
        </is>
      </c>
    </row>
    <row r="22">
      <c r="A22" s="5" t="inlineStr">
        <is>
          <t>CSRD compliance manual checks/supplier</t>
        </is>
      </c>
      <c r="B22" s="9" t="n">
        <v>12</v>
      </c>
      <c r="C22" s="7" t="inlineStr">
        <is>
          <t>checks/yr</t>
        </is>
      </c>
      <c r="D22" s="8" t="inlineStr">
        <is>
          <t>Regulatory requirement</t>
        </is>
      </c>
    </row>
    <row r="23">
      <c r="A23" s="5" t="inlineStr">
        <is>
          <t>% tail spend (&lt;€10K) as % of total spend</t>
        </is>
      </c>
      <c r="B23" s="10" t="n">
        <v>0.08</v>
      </c>
      <c r="C23" s="7" t="inlineStr">
        <is>
          <t>%</t>
        </is>
      </c>
      <c r="D23" s="8" t="inlineStr">
        <is>
          <t>Industry avg 8-15%</t>
        </is>
      </c>
    </row>
    <row r="24">
      <c r="A24" s="5" t="inlineStr">
        <is>
          <t>Avg invoice processing time (mins)</t>
        </is>
      </c>
      <c r="B24" s="9" t="n">
        <v>15</v>
      </c>
      <c r="C24" s="7" t="inlineStr">
        <is>
          <t>mins</t>
        </is>
      </c>
      <c r="D24" s="8" t="inlineStr">
        <is>
          <t>Industry avg</t>
        </is>
      </c>
    </row>
    <row r="25">
      <c r="A25" s="5" t="inlineStr">
        <is>
          <t>Invoices processed per year</t>
        </is>
      </c>
      <c r="B25" s="6" t="n">
        <v>18000</v>
      </c>
      <c r="C25" s="7" t="inlineStr">
        <is>
          <t>count</t>
        </is>
      </c>
      <c r="D25" s="8" t="inlineStr">
        <is>
          <t>Statkraft estimate</t>
        </is>
      </c>
    </row>
    <row r="26">
      <c r="A26" s="5" t="inlineStr">
        <is>
          <t>Supplier onboarding time (days)</t>
        </is>
      </c>
      <c r="B26" s="9" t="n">
        <v>45</v>
      </c>
      <c r="C26" s="7" t="inlineStr">
        <is>
          <t>days</t>
        </is>
      </c>
      <c r="D26" s="8" t="inlineStr">
        <is>
          <t>Statkraft estimate</t>
        </is>
      </c>
    </row>
    <row r="29" ht="20" customHeight="1">
      <c r="A29" s="3" t="inlineStr">
        <is>
          <t xml:space="preserve">  💰  USE CASE VALUE ANALYSIS — All 20 Use Cases with Evidence-Based Benchmarks</t>
        </is>
      </c>
    </row>
    <row r="30">
      <c r="A30" s="11" t="inlineStr">
        <is>
          <t>#</t>
        </is>
      </c>
      <c r="B30" s="11" t="inlineStr">
        <is>
          <t>Use Case</t>
        </is>
      </c>
      <c r="C30" s="11" t="inlineStr">
        <is>
          <t>Category</t>
        </is>
      </c>
      <c r="D30" s="11" t="inlineStr">
        <is>
          <t>Benchmark Source</t>
        </is>
      </c>
      <c r="E30" s="11" t="inlineStr">
        <is>
          <t>Benchmark %/Metric</t>
        </is>
      </c>
      <c r="F30" s="11" t="inlineStr">
        <is>
          <t>Calculation Method</t>
        </is>
      </c>
      <c r="G30" s="11" t="inlineStr">
        <is>
          <t>Bear
(50% of base)</t>
        </is>
      </c>
      <c r="H30" s="11" t="inlineStr">
        <is>
          <t>Base
Estimate</t>
        </is>
      </c>
      <c r="I30" s="11" t="inlineStr">
        <is>
          <t>Bull
(150% of base)</t>
        </is>
      </c>
      <c r="J30" s="11" t="inlineStr">
        <is>
          <t>Confidence</t>
        </is>
      </c>
      <c r="K30" s="11" t="inlineStr">
        <is>
          <t>Evidence Quality</t>
        </is>
      </c>
      <c r="L30" s="11" t="inlineStr">
        <is>
          <t>Effort
(weeks)</t>
        </is>
      </c>
      <c r="M30" s="11" t="inlineStr">
        <is>
          <t>Time to
Value</t>
        </is>
      </c>
      <c r="N30" s="11" t="inlineStr">
        <is>
          <t>Track</t>
        </is>
      </c>
      <c r="O30" s="11" t="inlineStr">
        <is>
          <t>One-time
Cost (EUR)</t>
        </is>
      </c>
      <c r="P30" s="11" t="inlineStr">
        <is>
          <t>Annual
Cost (EUR)</t>
        </is>
      </c>
      <c r="Q30" s="11" t="inlineStr">
        <is>
          <t>Net Annual
Value (EUR)</t>
        </is>
      </c>
      <c r="R30" s="11" t="inlineStr">
        <is>
          <t>3yr NPV
(EUR)</t>
        </is>
      </c>
      <c r="S30" s="11" t="inlineStr">
        <is>
          <t>ROI</t>
        </is>
      </c>
      <c r="T30" s="11" t="inlineStr">
        <is>
          <t>Notes / Assumptions</t>
        </is>
      </c>
    </row>
    <row r="31" ht="45" customHeight="1">
      <c r="A31" s="12" t="n">
        <v>1</v>
      </c>
      <c r="B31" s="5" t="inlineStr">
        <is>
          <t>Spend Classification &amp; Enrichment</t>
        </is>
      </c>
      <c r="C31" s="13" t="inlineStr">
        <is>
          <t>Data Quality</t>
        </is>
      </c>
      <c r="D31" s="14" t="inlineStr">
        <is>
          <t>McKinsey / Equinor (500M NOK automation)</t>
        </is>
      </c>
      <c r="E31" s="15" t="inlineStr">
        <is>
          <t>5-10% spend recovery from better classification accuracy</t>
        </is>
      </c>
      <c r="F31" s="14" t="inlineStr">
        <is>
          <t>Spend × (target accuracy 88% - current 65%) × 5% recovery rate</t>
        </is>
      </c>
      <c r="G31" s="16">
        <f>B7*(0.88-B16)*0.025</f>
        <v/>
      </c>
      <c r="H31" s="17">
        <f>B7*(0.88-B16)*0.05</f>
        <v/>
      </c>
      <c r="I31" s="18">
        <f>B7*(0.88-B16)*0.075</f>
        <v/>
      </c>
      <c r="J31" s="19" t="inlineStr">
        <is>
          <t>High</t>
        </is>
      </c>
      <c r="K31" s="20" t="inlineStr">
        <is>
          <t>McKinsey confirmed, Equinor implemented</t>
        </is>
      </c>
      <c r="L31" s="13" t="n">
        <v>3</v>
      </c>
      <c r="M31" s="13" t="inlineStr">
        <is>
          <t>4–6 wks</t>
        </is>
      </c>
      <c r="N31" s="21" t="inlineStr">
        <is>
          <t>B</t>
        </is>
      </c>
      <c r="O31" s="22" t="n">
        <v>0</v>
      </c>
      <c r="P31" s="23" t="n">
        <v>15000</v>
      </c>
      <c r="Q31" s="24">
        <f>H31-P31</f>
        <v/>
      </c>
      <c r="R31" s="24">
        <f>Q31*3-O31</f>
        <v/>
      </c>
      <c r="S31" s="25">
        <f>IF(O31+P31&gt;0,H31/(O31+P31),"∞")</f>
        <v/>
      </c>
      <c r="T31" s="14" t="inlineStr">
        <is>
          <t>Cleans data for all other AI use cases. Foundation use case. SAP Joule native.</t>
        </is>
      </c>
    </row>
    <row r="32" ht="45" customHeight="1">
      <c r="A32" s="12" t="n">
        <v>2</v>
      </c>
      <c r="B32" s="26" t="inlineStr">
        <is>
          <t>Contract NLP Scanning &amp; Review</t>
        </is>
      </c>
      <c r="C32" s="27" t="inlineStr">
        <is>
          <t>Contract Mgmt</t>
        </is>
      </c>
      <c r="D32" s="28" t="inlineStr">
        <is>
          <t>Luminance / Icertis benchmark — 31% already using AI</t>
        </is>
      </c>
      <c r="E32" s="29" t="inlineStr">
        <is>
          <t>80% faster contract review; review 1,200 contracts/yr</t>
        </is>
      </c>
      <c r="F32" s="28" t="inlineStr">
        <is>
          <t>Hours saved × FTE cost ÷ 1750 working hrs per year</t>
        </is>
      </c>
      <c r="G32" s="16">
        <f>B9/1750*B13*B19*0.8*0.4</f>
        <v/>
      </c>
      <c r="H32" s="17">
        <f>B9/1750*B13*B19*0.8</f>
        <v/>
      </c>
      <c r="I32" s="18">
        <f>B9/1750*B13*B19*0.8*1.5</f>
        <v/>
      </c>
      <c r="J32" s="19" t="inlineStr">
        <is>
          <t>High</t>
        </is>
      </c>
      <c r="K32" s="30" t="inlineStr">
        <is>
          <t>Luminance/Icertis benchmarked, 31% adoption live</t>
        </is>
      </c>
      <c r="L32" s="27" t="n">
        <v>4</v>
      </c>
      <c r="M32" s="27" t="inlineStr">
        <is>
          <t>6–8 wks</t>
        </is>
      </c>
      <c r="N32" s="21" t="inlineStr">
        <is>
          <t>B</t>
        </is>
      </c>
      <c r="O32" s="22" t="n">
        <v>5000</v>
      </c>
      <c r="P32" s="23" t="n">
        <v>8000</v>
      </c>
      <c r="Q32" s="24">
        <f>H32-P32</f>
        <v/>
      </c>
      <c r="R32" s="24">
        <f>Q32*3-O32</f>
        <v/>
      </c>
      <c r="S32" s="25">
        <f>IF(O32+P32&gt;0,H32/(O32+P32),"∞")</f>
        <v/>
      </c>
      <c r="T32" s="28" t="inlineStr">
        <is>
          <t>80% faster = 3.2 hrs saved per contract review. 1,200 contracts × 3.2h = 3,840h saved.</t>
        </is>
      </c>
    </row>
    <row r="33" ht="45" customHeight="1">
      <c r="A33" s="12" t="n">
        <v>3</v>
      </c>
      <c r="B33" s="5" t="inlineStr">
        <is>
          <t>Supplier Monitoring Agent (Top 50→200)</t>
        </is>
      </c>
      <c r="C33" s="13" t="inlineStr">
        <is>
          <t>Risk Mgmt</t>
        </is>
      </c>
      <c r="D33" s="14" t="inlineStr">
        <is>
          <t>Resilinc (Gartner Magic Quadrant Leader) / Shell</t>
        </is>
      </c>
      <c r="E33" s="15" t="inlineStr">
        <is>
          <t>70% reduction in manual monitoring costs; early warning reduces incidents</t>
        </is>
      </c>
      <c r="F33" s="14" t="inlineStr">
        <is>
          <t>Manual monitoring cost reduction + incident prevention value</t>
        </is>
      </c>
      <c r="G33" s="16">
        <f>B15*0.7*0.5</f>
        <v/>
      </c>
      <c r="H33" s="17">
        <f>B15*0.7</f>
        <v/>
      </c>
      <c r="I33" s="18">
        <f>B15*0.7*1.5</f>
        <v/>
      </c>
      <c r="J33" s="19" t="inlineStr">
        <is>
          <t>High</t>
        </is>
      </c>
      <c r="K33" s="20" t="inlineStr">
        <is>
          <t>Shell/TotalEnergies live, Resilinc Gartner Leader</t>
        </is>
      </c>
      <c r="L33" s="13" t="n">
        <v>6</v>
      </c>
      <c r="M33" s="13" t="inlineStr">
        <is>
          <t>8–10 wks</t>
        </is>
      </c>
      <c r="N33" s="31" t="inlineStr">
        <is>
          <t>D</t>
        </is>
      </c>
      <c r="O33" s="22" t="n">
        <v>10000</v>
      </c>
      <c r="P33" s="23" t="n">
        <v>25000</v>
      </c>
      <c r="Q33" s="24">
        <f>H33-P33</f>
        <v/>
      </c>
      <c r="R33" s="24">
        <f>Q33*3-O33</f>
        <v/>
      </c>
      <c r="S33" s="25">
        <f>IF(O33+P33&gt;0,H33/(O33+P33),"∞")</f>
        <v/>
      </c>
      <c r="T33" s="14" t="inlineStr">
        <is>
          <t>Continuous vs. annual review. Resilinc: real-time disruption monitoring, tariff screening, forced labor compliance.</t>
        </is>
      </c>
    </row>
    <row r="34" ht="45" customHeight="1">
      <c r="A34" s="12" t="n">
        <v>4</v>
      </c>
      <c r="B34" s="26" t="inlineStr">
        <is>
          <t>RFQ &amp; Tender Drafting Agent</t>
        </is>
      </c>
      <c r="C34" s="27" t="inlineStr">
        <is>
          <t>Sourcing</t>
        </is>
      </c>
      <c r="D34" s="28" t="inlineStr">
        <is>
          <t>Ørsted / BP — autonomous RFQ generation from spec</t>
        </is>
      </c>
      <c r="E34" s="29" t="inlineStr">
        <is>
          <t>75% time reduction; 4–8h saved per event</t>
        </is>
      </c>
      <c r="F34" s="28" t="inlineStr">
        <is>
          <t>Hours saved per event × events/yr × FTE cost ÷ 1750</t>
        </is>
      </c>
      <c r="G34" s="16">
        <f>B11*B10*0.75*B9/1750*0.4</f>
        <v/>
      </c>
      <c r="H34" s="17">
        <f>B11*B10*0.75*B9/1750</f>
        <v/>
      </c>
      <c r="I34" s="18">
        <f>B11*B10*0.75*B9/1750*1.5</f>
        <v/>
      </c>
      <c r="J34" s="19" t="inlineStr">
        <is>
          <t>High</t>
        </is>
      </c>
      <c r="K34" s="30" t="inlineStr">
        <is>
          <t>Ørsted and BP live, Fairmarkit: 10x events per FTE</t>
        </is>
      </c>
      <c r="L34" s="27" t="n">
        <v>5</v>
      </c>
      <c r="M34" s="27" t="inlineStr">
        <is>
          <t>8–12 wks</t>
        </is>
      </c>
      <c r="N34" s="31" t="inlineStr">
        <is>
          <t>D</t>
        </is>
      </c>
      <c r="O34" s="22" t="n">
        <v>15000</v>
      </c>
      <c r="P34" s="23" t="n">
        <v>30000</v>
      </c>
      <c r="Q34" s="24">
        <f>H34-P34</f>
        <v/>
      </c>
      <c r="R34" s="24">
        <f>Q34*3-O34</f>
        <v/>
      </c>
      <c r="S34" s="25">
        <f>IF(O34+P34&gt;0,H34/(O34+P34),"∞")</f>
        <v/>
      </c>
      <c r="T34" s="28" t="inlineStr">
        <is>
          <t>250 events × 30h saved × €68.57/hr = €514K base. Fairmarkit: $40K savings per buyer per week.</t>
        </is>
      </c>
    </row>
    <row r="35" ht="45" customHeight="1">
      <c r="A35" s="12" t="n">
        <v>5</v>
      </c>
      <c r="B35" s="5" t="inlineStr">
        <is>
          <t>Demand Forecasting — MRO &amp; Capex</t>
        </is>
      </c>
      <c r="C35" s="13" t="inlineStr">
        <is>
          <t>MRO/Supply</t>
        </is>
      </c>
      <c r="D35" s="14" t="inlineStr">
        <is>
          <t>Vattenfall (6–12m horizon) / McKinsey (35% inventory reduction)</t>
        </is>
      </c>
      <c r="E35" s="15" t="inlineStr">
        <is>
          <t>50% reduction in emergency premium buys; 13% inventory reduction</t>
        </is>
      </c>
      <c r="F35" s="14" t="inlineStr">
        <is>
          <t>Emergency premium spend reduction + inventory carrying cost savings</t>
        </is>
      </c>
      <c r="G35" s="16">
        <f>B7*B17*0.5*0.4+B7*0.02*0.13*0.4</f>
        <v/>
      </c>
      <c r="H35" s="17">
        <f>B7*B17*0.5+B7*0.02*0.13</f>
        <v/>
      </c>
      <c r="I35" s="18">
        <f>B7*B17*0.5*1.5+B7*0.02*0.13*1.5</f>
        <v/>
      </c>
      <c r="J35" s="19" t="inlineStr">
        <is>
          <t>High</t>
        </is>
      </c>
      <c r="K35" s="20" t="inlineStr">
        <is>
          <t>Vattenfall live, McKinsey 35% inventory reduction confirmed</t>
        </is>
      </c>
      <c r="L35" s="13" t="n">
        <v>8</v>
      </c>
      <c r="M35" s="13" t="inlineStr">
        <is>
          <t>12–16 wks</t>
        </is>
      </c>
      <c r="N35" s="31" t="inlineStr">
        <is>
          <t>D</t>
        </is>
      </c>
      <c r="O35" s="22" t="n">
        <v>20000</v>
      </c>
      <c r="P35" s="23" t="n">
        <v>40000</v>
      </c>
      <c r="Q35" s="24">
        <f>H35-P35</f>
        <v/>
      </c>
      <c r="R35" s="24">
        <f>Q35*3-O35</f>
        <v/>
      </c>
      <c r="S35" s="25">
        <f>IF(O35+P35&gt;0,H35/(O35+P35),"∞")</f>
        <v/>
      </c>
      <c r="T35" s="14" t="inlineStr">
        <is>
          <t>MRO emergency premium 3% of spend = €15M. 50% reduction = €7.5M. Inventory saving ~€1.3M additional.</t>
        </is>
      </c>
    </row>
    <row r="36" ht="45" customHeight="1">
      <c r="A36" s="12" t="n">
        <v>6</v>
      </c>
      <c r="B36" s="26" t="inlineStr">
        <is>
          <t>Negotiation Intelligence &amp; Prep</t>
        </is>
      </c>
      <c r="C36" s="27" t="inlineStr">
        <is>
          <t>Sourcing</t>
        </is>
      </c>
      <c r="D36" s="28" t="inlineStr">
        <is>
          <t>Arkestro (18.8% savings per $1M) / McKinsey should-cost 13% savings</t>
        </is>
      </c>
      <c r="E36" s="29" t="inlineStr">
        <is>
          <t>0.3% additional savings from better-prepared negotiations</t>
        </is>
      </c>
      <c r="F36" s="28" t="inlineStr">
        <is>
          <t>Total spend × % additional savings from AI-assisted negotiation prep</t>
        </is>
      </c>
      <c r="G36" s="16">
        <f>B7*0.003*0.5</f>
        <v/>
      </c>
      <c r="H36" s="17">
        <f>B7*0.003</f>
        <v/>
      </c>
      <c r="I36" s="18">
        <f>B7*0.003*1.8</f>
        <v/>
      </c>
      <c r="J36" s="32" t="inlineStr">
        <is>
          <t>Medium</t>
        </is>
      </c>
      <c r="K36" s="30" t="inlineStr">
        <is>
          <t>Arkestro: 18.8% savings/event; McKinsey: 13% should-cost savings</t>
        </is>
      </c>
      <c r="L36" s="27" t="n">
        <v>5</v>
      </c>
      <c r="M36" s="27" t="inlineStr">
        <is>
          <t>8–12 wks</t>
        </is>
      </c>
      <c r="N36" s="31" t="inlineStr">
        <is>
          <t>D</t>
        </is>
      </c>
      <c r="O36" s="22" t="n">
        <v>10000</v>
      </c>
      <c r="P36" s="23" t="n">
        <v>20000</v>
      </c>
      <c r="Q36" s="24">
        <f>H36-P36</f>
        <v/>
      </c>
      <c r="R36" s="24">
        <f>Q36*3-O36</f>
        <v/>
      </c>
      <c r="S36" s="25">
        <f>IF(O36+P36&gt;0,H36/(O36+P36),"∞")</f>
        <v/>
      </c>
      <c r="T36" s="28" t="inlineStr">
        <is>
          <t>Conservative: 0.3% of €500M = €1.5M. Arkestro achieving 18.8% per event on direct materials negotiated.</t>
        </is>
      </c>
    </row>
    <row r="37" ht="45" customHeight="1">
      <c r="A37" s="12" t="n">
        <v>7</v>
      </c>
      <c r="B37" s="5" t="inlineStr">
        <is>
          <t>Category Strategy Agent</t>
        </is>
      </c>
      <c r="C37" s="13" t="inlineStr">
        <is>
          <t>Strategy</t>
        </is>
      </c>
      <c r="D37" s="14" t="inlineStr">
        <is>
          <t>McKinsey autonomous category agents 15–30% efficiency; BCG 15–45% cost reduction</t>
        </is>
      </c>
      <c r="E37" s="15" t="inlineStr">
        <is>
          <t>0.5% spend savings from better category strategy coverage (3→12 strategies/yr)</t>
        </is>
      </c>
      <c r="F37" s="14" t="inlineStr">
        <is>
          <t>Spend × savings % enabled by broader category strategy coverage</t>
        </is>
      </c>
      <c r="G37" s="16">
        <f>B7*0.005*0.4</f>
        <v/>
      </c>
      <c r="H37" s="17">
        <f>B7*0.005</f>
        <v/>
      </c>
      <c r="I37" s="18">
        <f>B7*0.005*2</f>
        <v/>
      </c>
      <c r="J37" s="32" t="inlineStr">
        <is>
          <t>Medium</t>
        </is>
      </c>
      <c r="K37" s="20" t="inlineStr">
        <is>
          <t>McKinsey/BCG benchmarked; Statkraft currently 3 strategies/yr</t>
        </is>
      </c>
      <c r="L37" s="13" t="n">
        <v>8</v>
      </c>
      <c r="M37" s="13" t="inlineStr">
        <is>
          <t>12–20 wks</t>
        </is>
      </c>
      <c r="N37" s="31" t="inlineStr">
        <is>
          <t>D</t>
        </is>
      </c>
      <c r="O37" s="22" t="n">
        <v>25000</v>
      </c>
      <c r="P37" s="23" t="n">
        <v>50000</v>
      </c>
      <c r="Q37" s="24">
        <f>H37-P37</f>
        <v/>
      </c>
      <c r="R37" s="24">
        <f>Q37*3-O37</f>
        <v/>
      </c>
      <c r="S37" s="25">
        <f>IF(O37+P37&gt;0,H37/(O37+P37),"∞")</f>
        <v/>
      </c>
      <c r="T37" s="14" t="inlineStr">
        <is>
          <t>Increase from 3 to 12 category strategies per year. Each strategy covers average 4% of spend. 0.5% savings rate.</t>
        </is>
      </c>
    </row>
    <row r="38" ht="45" customHeight="1">
      <c r="A38" s="12" t="n">
        <v>8</v>
      </c>
      <c r="B38" s="26" t="inlineStr">
        <is>
          <t>CSRD &amp; ESG Compliance Automation</t>
        </is>
      </c>
      <c r="C38" s="27" t="inlineStr">
        <is>
          <t>Compliance</t>
        </is>
      </c>
      <c r="D38" s="28" t="inlineStr">
        <is>
          <t>CSRD mandatory 2026; Resilinc forced labor / tariff screening live</t>
        </is>
      </c>
      <c r="E38" s="29" t="inlineStr">
        <is>
          <t>80% reduction in manual compliance checking hours</t>
        </is>
      </c>
      <c r="F38" s="28" t="inlineStr">
        <is>
          <t>Manual compliance hours saved × FTE cost ÷ 1750 + penalty risk reduction</t>
        </is>
      </c>
      <c r="G38" s="16">
        <f>B9/1750*B8*B22*0.8*0.4</f>
        <v/>
      </c>
      <c r="H38" s="17">
        <f>B9/1750*B8*B22*0.8</f>
        <v/>
      </c>
      <c r="I38" s="18">
        <f>B9/1750*B8*B22*0.8*1.5</f>
        <v/>
      </c>
      <c r="J38" s="19" t="inlineStr">
        <is>
          <t>High</t>
        </is>
      </c>
      <c r="K38" s="30" t="inlineStr">
        <is>
          <t>CSRD mandatory, Resilinc agent live on Azure</t>
        </is>
      </c>
      <c r="L38" s="27" t="n">
        <v>5</v>
      </c>
      <c r="M38" s="27" t="inlineStr">
        <is>
          <t>10–14 wks</t>
        </is>
      </c>
      <c r="N38" s="31" t="inlineStr">
        <is>
          <t>D</t>
        </is>
      </c>
      <c r="O38" s="22" t="n">
        <v>15000</v>
      </c>
      <c r="P38" s="23" t="n">
        <v>25000</v>
      </c>
      <c r="Q38" s="24">
        <f>H38-P38</f>
        <v/>
      </c>
      <c r="R38" s="24">
        <f>Q38*3-O38</f>
        <v/>
      </c>
      <c r="S38" s="25">
        <f>IF(O38+P38&gt;0,H38/(O38+P38),"∞")</f>
        <v/>
      </c>
      <c r="T38" s="28" t="inlineStr">
        <is>
          <t>200 suppliers × 12 checks/yr × 0.8 hours avg = 1,920h saved. CSRD audit penalty risk reduction = additional strategic value.</t>
        </is>
      </c>
    </row>
    <row r="39" ht="45" customHeight="1">
      <c r="A39" s="12" t="n">
        <v>9</v>
      </c>
      <c r="B39" s="5" t="inlineStr">
        <is>
          <t>Invoice Processing &amp; Anomaly Detection</t>
        </is>
      </c>
      <c r="C39" s="13" t="inlineStr">
        <is>
          <t>P2P</t>
        </is>
      </c>
      <c r="D39" s="14" t="inlineStr">
        <is>
          <t>Jaggaer (anomaly detection live) / SAP Joule (Q4 2025)</t>
        </is>
      </c>
      <c r="E39" s="15" t="inlineStr">
        <is>
          <t>70% reduction in manual invoice processing time</t>
        </is>
      </c>
      <c r="F39" s="14" t="inlineStr">
        <is>
          <t>Invoices × time saved × FTE cost rate</t>
        </is>
      </c>
      <c r="G39" s="16">
        <f>B25*B24/60*B9/1750*0.7*0.4</f>
        <v/>
      </c>
      <c r="H39" s="17">
        <f>B25*B24/60*B9/1750*0.7</f>
        <v/>
      </c>
      <c r="I39" s="18">
        <f>B25*B24/60*B9/1750*0.7*1.5</f>
        <v/>
      </c>
      <c r="J39" s="19" t="inlineStr">
        <is>
          <t>High</t>
        </is>
      </c>
      <c r="K39" s="20" t="inlineStr">
        <is>
          <t>Jaggaer anomaly detection launched 2025; SAP Joule native</t>
        </is>
      </c>
      <c r="L39" s="13" t="n">
        <v>3</v>
      </c>
      <c r="M39" s="13" t="inlineStr">
        <is>
          <t>4–6 wks</t>
        </is>
      </c>
      <c r="N39" s="21" t="inlineStr">
        <is>
          <t>B</t>
        </is>
      </c>
      <c r="O39" s="22" t="n">
        <v>0</v>
      </c>
      <c r="P39" s="23" t="n">
        <v>5000</v>
      </c>
      <c r="Q39" s="24">
        <f>H39-P39</f>
        <v/>
      </c>
      <c r="R39" s="24">
        <f>Q39*3-O39</f>
        <v/>
      </c>
      <c r="S39" s="25">
        <f>IF(O39+P39&gt;0,H39/(O39+P39),"∞")</f>
        <v/>
      </c>
      <c r="T39" s="14" t="inlineStr">
        <is>
          <t>18,000 invoices × 15min × 70% saving × €68.57/hr = €121K. Plus fraud/error prevention value.</t>
        </is>
      </c>
    </row>
    <row r="40" ht="45" customHeight="1">
      <c r="A40" s="12" t="n">
        <v>10</v>
      </c>
      <c r="B40" s="26" t="inlineStr">
        <is>
          <t>Market Intelligence Agent (Daily Briefings)</t>
        </is>
      </c>
      <c r="C40" s="27" t="inlineStr">
        <is>
          <t>Market Intel</t>
        </is>
      </c>
      <c r="D40" s="28" t="inlineStr">
        <is>
          <t>GEP (15% lower logistics costs) / Equinor commodity monitoring</t>
        </is>
      </c>
      <c r="E40" s="29" t="inlineStr">
        <is>
          <t>1% better purchase timing on commodity-exposed spend (est. 30% of total)</t>
        </is>
      </c>
      <c r="F40" s="28" t="inlineStr">
        <is>
          <t>Commodity-exposed spend × price timing improvement</t>
        </is>
      </c>
      <c r="G40" s="16">
        <f>B7*0.3*0.01*0.4</f>
        <v/>
      </c>
      <c r="H40" s="17">
        <f>B7*0.3*0.01</f>
        <v/>
      </c>
      <c r="I40" s="18">
        <f>B7*0.3*0.01*2</f>
        <v/>
      </c>
      <c r="J40" s="32" t="inlineStr">
        <is>
          <t>Medium</t>
        </is>
      </c>
      <c r="K40" s="30" t="inlineStr">
        <is>
          <t>GEP/McKinsey benchmarked; Equinor live on commodity monitoring</t>
        </is>
      </c>
      <c r="L40" s="27" t="n">
        <v>2</v>
      </c>
      <c r="M40" s="27" t="inlineStr">
        <is>
          <t>2–4 wks</t>
        </is>
      </c>
      <c r="N40" s="21" t="inlineStr">
        <is>
          <t>A/B</t>
        </is>
      </c>
      <c r="O40" s="22" t="n">
        <v>0</v>
      </c>
      <c r="P40" s="23" t="n">
        <v>3000</v>
      </c>
      <c r="Q40" s="24">
        <f>H40-P40</f>
        <v/>
      </c>
      <c r="R40" s="24">
        <f>Q40*3-O40</f>
        <v/>
      </c>
      <c r="S40" s="25">
        <f>IF(O40+P40&gt;0,H40/(O40+P40),"∞")</f>
        <v/>
      </c>
      <c r="T40" s="28" t="inlineStr">
        <is>
          <t>30% of spend commodity-exposed = €150M. 1% better timing = €1.5M base. Conservative given steel/copper volatility 2024-25.</t>
        </is>
      </c>
    </row>
    <row r="41" ht="45" customHeight="1">
      <c r="A41" s="12" t="n">
        <v>11</v>
      </c>
      <c r="B41" s="5" t="inlineStr">
        <is>
          <t>Should-Cost Modelling Agent</t>
        </is>
      </c>
      <c r="C41" s="13" t="inlineStr">
        <is>
          <t>Cost Intelligence</t>
        </is>
      </c>
      <c r="D41" s="14" t="inlineStr">
        <is>
          <t>McKinsey: 13% savings in raw-materials from should-cost AI</t>
        </is>
      </c>
      <c r="E41" s="15" t="inlineStr">
        <is>
          <t>1% savings on addressable direct spend via better cost baselines</t>
        </is>
      </c>
      <c r="F41" s="14" t="inlineStr">
        <is>
          <t>Direct material spend × should-cost savings rate</t>
        </is>
      </c>
      <c r="G41" s="16">
        <f>B7*0.25*0.01*0.4</f>
        <v/>
      </c>
      <c r="H41" s="17">
        <f>B7*0.25*0.01</f>
        <v/>
      </c>
      <c r="I41" s="18">
        <f>B7*0.25*0.013</f>
        <v/>
      </c>
      <c r="J41" s="19" t="inlineStr">
        <is>
          <t>High</t>
        </is>
      </c>
      <c r="K41" s="20" t="inlineStr">
        <is>
          <t>McKinsey: 13% raw materials savings confirmed; Arkestro: 18.8%</t>
        </is>
      </c>
      <c r="L41" s="13" t="n">
        <v>6</v>
      </c>
      <c r="M41" s="13" t="inlineStr">
        <is>
          <t>8–12 wks</t>
        </is>
      </c>
      <c r="N41" s="31" t="inlineStr">
        <is>
          <t>D</t>
        </is>
      </c>
      <c r="O41" s="22" t="n">
        <v>20000</v>
      </c>
      <c r="P41" s="23" t="n">
        <v>35000</v>
      </c>
      <c r="Q41" s="24">
        <f>H41-P41</f>
        <v/>
      </c>
      <c r="R41" s="24">
        <f>Q41*3-O41</f>
        <v/>
      </c>
      <c r="S41" s="25">
        <f>IF(O41+P41&gt;0,H41/(O41+P41),"∞")</f>
        <v/>
      </c>
      <c r="T41" s="14" t="inlineStr">
        <is>
          <t>25% of spend = direct materials. 1% conservative savings (McKinsey 13%, using 1% for Statkraft first year).</t>
        </is>
      </c>
    </row>
    <row r="42" ht="45" customHeight="1">
      <c r="A42" s="12" t="n">
        <v>12</v>
      </c>
      <c r="B42" s="26" t="inlineStr">
        <is>
          <t>Supplier Onboarding Automation</t>
        </is>
      </c>
      <c r="C42" s="27" t="inlineStr">
        <is>
          <t>Supplier Mgmt</t>
        </is>
      </c>
      <c r="D42" s="28" t="inlineStr">
        <is>
          <t>TealBook / Scoutbee (Coupa acquisition Oct 2025)</t>
        </is>
      </c>
      <c r="E42" s="29" t="inlineStr">
        <is>
          <t>60% reduction in onboarding time (45 days → 18 days)</t>
        </is>
      </c>
      <c r="F42" s="28" t="inlineStr">
        <is>
          <t>Time saved × FTE cost + faster project start value</t>
        </is>
      </c>
      <c r="G42" s="16">
        <f>B9/250*B26*0.6*40*0.4</f>
        <v/>
      </c>
      <c r="H42" s="17">
        <f>B9/250*B26*0.6*40</f>
        <v/>
      </c>
      <c r="I42" s="18">
        <f>B9/250*B26*0.6*40*1.5</f>
        <v/>
      </c>
      <c r="J42" s="32" t="inlineStr">
        <is>
          <t>Medium</t>
        </is>
      </c>
      <c r="K42" s="30" t="inlineStr">
        <is>
          <t>TealBook/Scoutbee live; 60% onboarding time reduction typical</t>
        </is>
      </c>
      <c r="L42" s="27" t="n">
        <v>6</v>
      </c>
      <c r="M42" s="27" t="inlineStr">
        <is>
          <t>10–14 wks</t>
        </is>
      </c>
      <c r="N42" s="33" t="inlineStr">
        <is>
          <t>C</t>
        </is>
      </c>
      <c r="O42" s="22" t="n">
        <v>10000</v>
      </c>
      <c r="P42" s="23" t="n">
        <v>15000</v>
      </c>
      <c r="Q42" s="24">
        <f>H42-P42</f>
        <v/>
      </c>
      <c r="R42" s="24">
        <f>Q42*3-O42</f>
        <v/>
      </c>
      <c r="S42" s="25">
        <f>IF(O42+P42&gt;0,H42/(O42+P42),"∞")</f>
        <v/>
      </c>
      <c r="T42" s="28" t="inlineStr">
        <is>
          <t>Assume 40 new suppliers/yr, 45 days → 18 days saved × €460/day FTE cost.</t>
        </is>
      </c>
    </row>
    <row r="43" ht="45" customHeight="1">
      <c r="A43" s="12" t="n">
        <v>13</v>
      </c>
      <c r="B43" s="5" t="inlineStr">
        <is>
          <t>Tail Spend Automation Agent</t>
        </is>
      </c>
      <c r="C43" s="13" t="inlineStr">
        <is>
          <t>P2P</t>
        </is>
      </c>
      <c r="D43" s="14" t="inlineStr">
        <is>
          <t>Fairmarkit: $40K savings per buyer/week; 10x events per FTE</t>
        </is>
      </c>
      <c r="E43" s="15" t="inlineStr">
        <is>
          <t>15% savings on tail spend (typically managed at sub-optimal prices)</t>
        </is>
      </c>
      <c r="F43" s="14" t="inlineStr">
        <is>
          <t>Tail spend × savings rate from competitive mini-tendering</t>
        </is>
      </c>
      <c r="G43" s="16">
        <f>B7*B23*0.15*0.4</f>
        <v/>
      </c>
      <c r="H43" s="17">
        <f>B7*B23*0.15</f>
        <v/>
      </c>
      <c r="I43" s="18">
        <f>B7*B23*0.15*1.8</f>
        <v/>
      </c>
      <c r="J43" s="19" t="inlineStr">
        <is>
          <t>High</t>
        </is>
      </c>
      <c r="K43" s="20" t="inlineStr">
        <is>
          <t>Fairmarkit live with documented $40K/buyer/week savings</t>
        </is>
      </c>
      <c r="L43" s="13" t="n">
        <v>4</v>
      </c>
      <c r="M43" s="13" t="inlineStr">
        <is>
          <t>6–10 wks</t>
        </is>
      </c>
      <c r="N43" s="31" t="inlineStr">
        <is>
          <t>D</t>
        </is>
      </c>
      <c r="O43" s="22" t="n">
        <v>10000</v>
      </c>
      <c r="P43" s="23" t="n">
        <v>20000</v>
      </c>
      <c r="Q43" s="24">
        <f>H43-P43</f>
        <v/>
      </c>
      <c r="R43" s="24">
        <f>Q43*3-O43</f>
        <v/>
      </c>
      <c r="S43" s="25">
        <f>IF(O43+P43&gt;0,H43/(O43+P43),"∞")</f>
        <v/>
      </c>
      <c r="T43" s="14" t="inlineStr">
        <is>
          <t>Tail spend = 8% of €500M = €40M. 15% savings via competitive mini-tenders = €6M. Conservative vs Fairmarkit benchmarks.</t>
        </is>
      </c>
    </row>
    <row r="44" ht="45" customHeight="1">
      <c r="A44" s="12" t="n">
        <v>14</v>
      </c>
      <c r="B44" s="26" t="inlineStr">
        <is>
          <t>Project Cost Intelligence Agent</t>
        </is>
      </c>
      <c r="C44" s="27" t="inlineStr">
        <is>
          <t>Decision Intel</t>
        </is>
      </c>
      <c r="D44" s="28" t="inlineStr">
        <is>
          <t>ScienceDirect (40% overrun avg) / McKinsey (80% on megaprojects)</t>
        </is>
      </c>
      <c r="E44" s="29" t="inlineStr">
        <is>
          <t>2% improvement in estimate accuracy on capex spend</t>
        </is>
      </c>
      <c r="F44" s="28" t="inlineStr">
        <is>
          <t>Capex × overrun rate × % reduction from better cost intelligence</t>
        </is>
      </c>
      <c r="G44" s="16">
        <f>B20*B21*0.02*0.3</f>
        <v/>
      </c>
      <c r="H44" s="17">
        <f>B20*B21*0.02</f>
        <v/>
      </c>
      <c r="I44" s="18">
        <f>B20*B21*0.02*2</f>
        <v/>
      </c>
      <c r="J44" s="32" t="inlineStr">
        <is>
          <t>Medium</t>
        </is>
      </c>
      <c r="K44" s="30" t="inlineStr">
        <is>
          <t>ScienceDirect: 40% avg overrun (662 projects, $1.358T). Conservative 2% improvement.</t>
        </is>
      </c>
      <c r="L44" s="27" t="n">
        <v>10</v>
      </c>
      <c r="M44" s="27" t="inlineStr">
        <is>
          <t>16–24 wks</t>
        </is>
      </c>
      <c r="N44" s="31" t="inlineStr">
        <is>
          <t>D</t>
        </is>
      </c>
      <c r="O44" s="22" t="n">
        <v>30000</v>
      </c>
      <c r="P44" s="23" t="n">
        <v>60000</v>
      </c>
      <c r="Q44" s="24">
        <f>H44-P44</f>
        <v/>
      </c>
      <c r="R44" s="24">
        <f>Q44*3-O44</f>
        <v/>
      </c>
      <c r="S44" s="25">
        <f>IF(O44+P44&gt;0,H44/(O44+P44),"∞")</f>
        <v/>
      </c>
      <c r="T44" s="28" t="inlineStr">
        <is>
          <t>€200M capex × 40% overrun rate × 2% improvement = €1.6M base. Mines SAP/Jaggaer actuals vs. estimates.</t>
        </is>
      </c>
    </row>
    <row r="45" ht="45" customHeight="1">
      <c r="A45" s="12" t="n">
        <v>15</v>
      </c>
      <c r="B45" s="5" t="inlineStr">
        <is>
          <t>EPC Contract AI Review Agent</t>
        </is>
      </c>
      <c r="C45" s="13" t="inlineStr">
        <is>
          <t>Contract Mgmt</t>
        </is>
      </c>
      <c r="D45" s="14" t="inlineStr">
        <is>
          <t>Ironclad ($150M ARR, 39% growth) / Icertis (33 Fortune 100 clients)</t>
        </is>
      </c>
      <c r="E45" s="15" t="inlineStr">
        <is>
          <t>40–60% legal cycle time reduction on complex contracts</t>
        </is>
      </c>
      <c r="F45" s="14" t="inlineStr">
        <is>
          <t>Legal/procurement hours saved on EPC contract review per year</t>
        </is>
      </c>
      <c r="G45" s="16">
        <f>B9/1750*20*B12*40*0.4*0.4</f>
        <v/>
      </c>
      <c r="H45" s="17">
        <f>B9/1750*20*B12*40*0.4</f>
        <v/>
      </c>
      <c r="I45" s="18">
        <f>B9/1750*20*B12*40*0.6</f>
        <v/>
      </c>
      <c r="J45" s="32" t="inlineStr">
        <is>
          <t>Medium</t>
        </is>
      </c>
      <c r="K45" s="20" t="inlineStr">
        <is>
          <t>Ironclad/Icertis live at Fortune 100; 40% cycle time reduction confirmed</t>
        </is>
      </c>
      <c r="L45" s="13" t="n">
        <v>8</v>
      </c>
      <c r="M45" s="13" t="inlineStr">
        <is>
          <t>12–18 wks</t>
        </is>
      </c>
      <c r="N45" s="31" t="inlineStr">
        <is>
          <t>D</t>
        </is>
      </c>
      <c r="O45" s="22" t="n">
        <v>20000</v>
      </c>
      <c r="P45" s="23" t="n">
        <v>40000</v>
      </c>
      <c r="Q45" s="24">
        <f>H45-P45</f>
        <v/>
      </c>
      <c r="R45" s="24">
        <f>Q45*3-O45</f>
        <v/>
      </c>
      <c r="S45" s="25">
        <f>IF(O45+P45&gt;0,H45/(O45+P45),"∞")</f>
        <v/>
      </c>
      <c r="T45" s="14" t="inlineStr">
        <is>
          <t>20 major EPC contracts/yr × avg 40 review hours × 40% savings. Plus risk reduction from catching non-standard clauses.</t>
        </is>
      </c>
    </row>
    <row r="46" ht="45" customHeight="1">
      <c r="A46" s="12" t="n">
        <v>16</v>
      </c>
      <c r="B46" s="26" t="inlineStr">
        <is>
          <t>Supplier Risk Intelligence — Financial</t>
        </is>
      </c>
      <c r="C46" s="27" t="inlineStr">
        <is>
          <t>Risk Mgmt</t>
        </is>
      </c>
      <c r="D46" s="28" t="inlineStr">
        <is>
          <t>Resilinc (Gartner Magic Quadrant Leader) / Shell continuous monitoring</t>
        </is>
      </c>
      <c r="E46" s="29" t="inlineStr">
        <is>
          <t>1 major supplier failure prevented per 2 years (€2M avg cost prevented)</t>
        </is>
      </c>
      <c r="F46" s="28" t="inlineStr">
        <is>
          <t>Probability-weighted cost of supplier failure events avoided</t>
        </is>
      </c>
      <c r="G46" s="16">
        <f>2000000/2*0.3</f>
        <v/>
      </c>
      <c r="H46" s="17">
        <f>2000000/2</f>
        <v/>
      </c>
      <c r="I46" s="18">
        <f>2000000/2*2</f>
        <v/>
      </c>
      <c r="J46" s="32" t="inlineStr">
        <is>
          <t>Medium</t>
        </is>
      </c>
      <c r="K46" s="30" t="inlineStr">
        <is>
          <t>Resilinc Gartner Leader; Shell financial monitoring live</t>
        </is>
      </c>
      <c r="L46" s="27" t="n">
        <v>6</v>
      </c>
      <c r="M46" s="27" t="inlineStr">
        <is>
          <t>8–12 wks</t>
        </is>
      </c>
      <c r="N46" s="31" t="inlineStr">
        <is>
          <t>D</t>
        </is>
      </c>
      <c r="O46" s="22" t="n">
        <v>10000</v>
      </c>
      <c r="P46" s="23" t="n">
        <v>20000</v>
      </c>
      <c r="Q46" s="24">
        <f>H46-P46</f>
        <v/>
      </c>
      <c r="R46" s="24">
        <f>Q46*3-O46</f>
        <v/>
      </c>
      <c r="S46" s="25">
        <f>IF(O46+P46&gt;0,H46/(O46+P46),"∞")</f>
        <v/>
      </c>
      <c r="T46" s="28" t="inlineStr">
        <is>
          <t>€2M avg cost of unplanned supplier switch (emergency sourcing + project delay). 1 event prevented per 2 yrs conservative.</t>
        </is>
      </c>
    </row>
    <row r="47" ht="45" customHeight="1">
      <c r="A47" s="12" t="n">
        <v>17</v>
      </c>
      <c r="B47" s="5" t="inlineStr">
        <is>
          <t>SAP Joule Activation (Native — Quick Win)</t>
        </is>
      </c>
      <c r="C47" s="13" t="inlineStr">
        <is>
          <t>Platform AI</t>
        </is>
      </c>
      <c r="D47" s="14" t="inlineStr">
        <is>
          <t>SAP: 30% productivity target; 14 new Joule agents Q4 2025</t>
        </is>
      </c>
      <c r="E47" s="15" t="inlineStr">
        <is>
          <t>20% productivity gain on SAP-native procurement tasks</t>
        </is>
      </c>
      <c r="F47" s="14" t="inlineStr">
        <is>
          <t>SAP users × time in SAP × productivity gain</t>
        </is>
      </c>
      <c r="G47" s="16">
        <f>B9/1750*1000*0.2*B9*0.4</f>
        <v/>
      </c>
      <c r="H47" s="17">
        <f>B9/1750*1000*0.2*B9</f>
        <v/>
      </c>
      <c r="I47" s="18">
        <f>B9/1750*1000*0.2*B9*1.5</f>
        <v/>
      </c>
      <c r="J47" s="19" t="inlineStr">
        <is>
          <t>High</t>
        </is>
      </c>
      <c r="K47" s="20" t="inlineStr">
        <is>
          <t>SAP native — no custom integration. Joule agents live Q4 2025</t>
        </is>
      </c>
      <c r="L47" s="13" t="n">
        <v>1</v>
      </c>
      <c r="M47" s="13" t="inlineStr">
        <is>
          <t>1–2 wks</t>
        </is>
      </c>
      <c r="N47" s="21" t="inlineStr">
        <is>
          <t>A</t>
        </is>
      </c>
      <c r="O47" s="22" t="n">
        <v>0</v>
      </c>
      <c r="P47" s="23" t="n">
        <v>0</v>
      </c>
      <c r="Q47" s="24">
        <f>H47-P47</f>
        <v/>
      </c>
      <c r="R47" s="24">
        <f>Q47*3-O47</f>
        <v/>
      </c>
      <c r="S47" s="25">
        <f>IF(O47+P47&gt;0,H47/(O47+P47),"∞")</f>
        <v/>
      </c>
      <c r="T47" s="14" t="inlineStr">
        <is>
          <t>Included in existing SAP licence. Bid analysis, SOW automation, NL demand routing, delivery date mass updates.</t>
        </is>
      </c>
    </row>
    <row r="48" ht="45" customHeight="1">
      <c r="A48" s="12" t="n">
        <v>18</v>
      </c>
      <c r="B48" s="26" t="inlineStr">
        <is>
          <t>Jaggaer JAI Activation (Native)</t>
        </is>
      </c>
      <c r="C48" s="27" t="inlineStr">
        <is>
          <t>Platform AI</t>
        </is>
      </c>
      <c r="D48" s="28" t="inlineStr">
        <is>
          <t>Jaggaer JAI: Gartner score 3.75; copilot + anomaly detection live</t>
        </is>
      </c>
      <c r="E48" s="29" t="inlineStr">
        <is>
          <t>15% efficiency gain on sourcing and contract tasks in Jaggaer</t>
        </is>
      </c>
      <c r="F48" s="28" t="inlineStr">
        <is>
          <t>Jaggaer users × time × efficiency gain</t>
        </is>
      </c>
      <c r="G48" s="16">
        <f>B9/1750*800*0.15*B9*0.4</f>
        <v/>
      </c>
      <c r="H48" s="17">
        <f>B9/1750*800*0.15*B9</f>
        <v/>
      </c>
      <c r="I48" s="18">
        <f>B9/1750*800*0.15*B9*1.5</f>
        <v/>
      </c>
      <c r="J48" s="19" t="inlineStr">
        <is>
          <t>High</t>
        </is>
      </c>
      <c r="K48" s="30" t="inlineStr">
        <is>
          <t>Native Jaggaer JAI — copilot live, agentic platform 2026</t>
        </is>
      </c>
      <c r="L48" s="27" t="n">
        <v>1</v>
      </c>
      <c r="M48" s="27" t="inlineStr">
        <is>
          <t>1–2 wks</t>
        </is>
      </c>
      <c r="N48" s="21" t="inlineStr">
        <is>
          <t>A</t>
        </is>
      </c>
      <c r="O48" s="22" t="n">
        <v>0</v>
      </c>
      <c r="P48" s="23" t="n">
        <v>0</v>
      </c>
      <c r="Q48" s="24">
        <f>H48-P48</f>
        <v/>
      </c>
      <c r="R48" s="24">
        <f>Q48*3-O48</f>
        <v/>
      </c>
      <c r="S48" s="25">
        <f>IF(O48+P48&gt;0,H48/(O48+P48),"∞")</f>
        <v/>
      </c>
      <c r="T48" s="28" t="inlineStr">
        <is>
          <t>Included in existing Jaggaer licence. JAI copilot, anomaly detection, conversational CLM live.</t>
        </is>
      </c>
    </row>
    <row r="49" ht="45" customHeight="1">
      <c r="A49" s="12" t="n">
        <v>19</v>
      </c>
      <c r="B49" s="5" t="inlineStr">
        <is>
          <t>Autonomous Tender Management (Low Value)</t>
        </is>
      </c>
      <c r="C49" s="13" t="inlineStr">
        <is>
          <t>P2P</t>
        </is>
      </c>
      <c r="D49" s="14" t="inlineStr">
        <is>
          <t>Zip (50+ agents, $6B savings) / Pactum (&lt;$150K autonomous negotiation)</t>
        </is>
      </c>
      <c r="E49" s="15" t="inlineStr">
        <is>
          <t>End-to-end automation of tenders &lt;€50K</t>
        </is>
      </c>
      <c r="F49" s="14" t="inlineStr">
        <is>
          <t>Low-value tender volume × avg value × savings rate</t>
        </is>
      </c>
      <c r="G49" s="16">
        <f>B10*0.4*50000*0.08*0.4</f>
        <v/>
      </c>
      <c r="H49" s="17">
        <f>B10*0.4*50000*0.08</f>
        <v/>
      </c>
      <c r="I49" s="18">
        <f>B10*0.4*50000*0.08*1.5</f>
        <v/>
      </c>
      <c r="J49" s="32" t="inlineStr">
        <is>
          <t>Medium</t>
        </is>
      </c>
      <c r="K49" s="20" t="inlineStr">
        <is>
          <t>Zip and Pactum live at scale; 100 events automated per year est.</t>
        </is>
      </c>
      <c r="L49" s="13" t="n">
        <v>6</v>
      </c>
      <c r="M49" s="13" t="inlineStr">
        <is>
          <t>10–16 wks</t>
        </is>
      </c>
      <c r="N49" s="31" t="inlineStr">
        <is>
          <t>D</t>
        </is>
      </c>
      <c r="O49" s="22" t="n">
        <v>15000</v>
      </c>
      <c r="P49" s="23" t="n">
        <v>30000</v>
      </c>
      <c r="Q49" s="24">
        <f>H49-P49</f>
        <v/>
      </c>
      <c r="R49" s="24">
        <f>Q49*3-O49</f>
        <v/>
      </c>
      <c r="S49" s="25">
        <f>IF(O49+P49&gt;0,H49/(O49+P49),"∞")</f>
        <v/>
      </c>
      <c r="T49" s="14" t="inlineStr">
        <is>
          <t>40% of 250 events = 100 low-value. Avg €50K × 8% savings = €400K base. Pactum managing &lt;$150K autonomously.</t>
        </is>
      </c>
    </row>
    <row r="50" ht="45" customHeight="1">
      <c r="A50" s="12" t="n">
        <v>20</v>
      </c>
      <c r="B50" s="26" t="inlineStr">
        <is>
          <t>Supply Chain Network Risk Mapping</t>
        </is>
      </c>
      <c r="C50" s="27" t="inlineStr">
        <is>
          <t>Risk/Strategy</t>
        </is>
      </c>
      <c r="D50" s="28" t="inlineStr">
        <is>
          <t>GEP (15% lower logistics, 35% inventory) / Resilinc sub-tier mapping</t>
        </is>
      </c>
      <c r="E50" s="29" t="inlineStr">
        <is>
          <t>Risk-adjusted value: 1 major supply disruption prevented per year</t>
        </is>
      </c>
      <c r="F50" s="28" t="inlineStr">
        <is>
          <t>Probability × impact of supply disruption avoided</t>
        </is>
      </c>
      <c r="G50" s="16">
        <f>5000000*0.15*0.3</f>
        <v/>
      </c>
      <c r="H50" s="17">
        <f>5000000*0.15</f>
        <v/>
      </c>
      <c r="I50" s="18">
        <f>5000000*0.15*2</f>
        <v/>
      </c>
      <c r="J50" s="34" t="inlineStr">
        <is>
          <t>Low</t>
        </is>
      </c>
      <c r="K50" s="30" t="inlineStr">
        <is>
          <t>GEP/Resilinc benchmarks; supply disruption costs well documented</t>
        </is>
      </c>
      <c r="L50" s="27" t="n">
        <v>10</v>
      </c>
      <c r="M50" s="27" t="inlineStr">
        <is>
          <t>16–24 wks</t>
        </is>
      </c>
      <c r="N50" s="31" t="inlineStr">
        <is>
          <t>D</t>
        </is>
      </c>
      <c r="O50" s="22" t="n">
        <v>25000</v>
      </c>
      <c r="P50" s="23" t="n">
        <v>50000</v>
      </c>
      <c r="Q50" s="24">
        <f>H50-P50</f>
        <v/>
      </c>
      <c r="R50" s="24">
        <f>Q50*3-O50</f>
        <v/>
      </c>
      <c r="S50" s="25">
        <f>IF(O50+P50&gt;0,H50/(O50+P50),"∞")</f>
        <v/>
      </c>
      <c r="T50" s="28" t="inlineStr">
        <is>
          <t>Major supply disruption (e.g. transformer shortage) costs €5M+ in project delay. 15% probability prevention.</t>
        </is>
      </c>
    </row>
    <row r="51" ht="28" customHeight="1">
      <c r="A51" s="35" t="inlineStr">
        <is>
          <t>PROGRAMME TOTAL (all 20 use cases fully deployed)</t>
        </is>
      </c>
      <c r="G51" s="36">
        <f>SUM(G31:G50)</f>
        <v/>
      </c>
      <c r="H51" s="36">
        <f>SUM(H31:H50)</f>
        <v/>
      </c>
      <c r="I51" s="36">
        <f>SUM(I31:I50)</f>
        <v/>
      </c>
      <c r="O51" s="36">
        <f>SUM(O31:O50)</f>
        <v/>
      </c>
      <c r="P51" s="36">
        <f>SUM(P31:P50)</f>
        <v/>
      </c>
      <c r="Q51" s="36">
        <f>SUM(Q31:Q50)</f>
        <v/>
      </c>
      <c r="R51" s="36">
        <f>SUM(R31:R50)</f>
        <v/>
      </c>
      <c r="S51" s="37">
        <f>H51/(O51+P51)</f>
        <v/>
      </c>
    </row>
    <row r="53" ht="20" customHeight="1">
      <c r="A53" s="3" t="inlineStr">
        <is>
          <t xml:space="preserve">  📅  PHASED ROLLOUT SUMMARY — Expected value by phase</t>
        </is>
      </c>
    </row>
    <row r="54">
      <c r="A54" s="4" t="inlineStr">
        <is>
          <t>Phase</t>
        </is>
      </c>
      <c r="B54" s="4" t="inlineStr">
        <is>
          <t>Use Cases</t>
        </is>
      </c>
      <c r="C54" s="4" t="inlineStr">
        <is>
          <t>Timeline</t>
        </is>
      </c>
      <c r="D54" s="4" t="inlineStr">
        <is>
          <t>Bear Value</t>
        </is>
      </c>
      <c r="E54" s="4" t="inlineStr">
        <is>
          <t>Base Value</t>
        </is>
      </c>
      <c r="F54" s="4" t="inlineStr">
        <is>
          <t>Bull Value</t>
        </is>
      </c>
      <c r="G54" s="4" t="inlineStr">
        <is>
          <t>Cumulative Base</t>
        </is>
      </c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 ht="22" customHeight="1">
      <c r="A55" s="38" t="inlineStr">
        <is>
          <t>Phase 0 — Quick Wins</t>
        </is>
      </c>
      <c r="B55" s="39" t="inlineStr">
        <is>
          <t>#17 SAP Joule, #18 Jaggaer JAI</t>
        </is>
      </c>
      <c r="C55" s="13" t="inlineStr">
        <is>
          <t>Weeks 1–2</t>
        </is>
      </c>
      <c r="D55" s="40">
        <f>H47+H48</f>
        <v/>
      </c>
      <c r="E55" s="40">
        <f>H47+H48</f>
        <v/>
      </c>
      <c r="F55" s="40">
        <f>H47+H48</f>
        <v/>
      </c>
      <c r="G55" s="24">
        <f>E55</f>
        <v/>
      </c>
    </row>
    <row r="56" ht="22" customHeight="1">
      <c r="A56" s="41" t="inlineStr">
        <is>
          <t>Phase 1 — First Pilots</t>
        </is>
      </c>
      <c r="B56" s="42" t="inlineStr">
        <is>
          <t>#1 Spend Classify, #2 Contract NLP, #3 Supplier Monitor</t>
        </is>
      </c>
      <c r="C56" s="27" t="inlineStr">
        <is>
          <t>Weeks 3–12</t>
        </is>
      </c>
      <c r="D56" s="43">
        <f>G31+G32+G33</f>
        <v/>
      </c>
      <c r="E56" s="43">
        <f>H31+H32+H33</f>
        <v/>
      </c>
      <c r="F56" s="43">
        <f>I31+I32+I33</f>
        <v/>
      </c>
      <c r="G56" s="24">
        <f>G55+E56</f>
        <v/>
      </c>
    </row>
    <row r="57" ht="22" customHeight="1">
      <c r="A57" s="38" t="inlineStr">
        <is>
          <t>Phase 2 — Expand</t>
        </is>
      </c>
      <c r="B57" s="39" t="inlineStr">
        <is>
          <t>#4 RFQ, #5 Demand Forecast, #6 Negotiation, #9 Invoice, #10 Market Intel, #13 Tail Spend</t>
        </is>
      </c>
      <c r="C57" s="13" t="inlineStr">
        <is>
          <t>Months 4–6</t>
        </is>
      </c>
      <c r="D57" s="40">
        <f>G34+G35+G36+G39+G40+G43</f>
        <v/>
      </c>
      <c r="E57" s="40">
        <f>H34+H35+H36+H39+H40+H43</f>
        <v/>
      </c>
      <c r="F57" s="40">
        <f>I34+I35+I36+I39+I40+I43</f>
        <v/>
      </c>
      <c r="G57" s="24">
        <f>G56+E57</f>
        <v/>
      </c>
    </row>
    <row r="58" ht="22" customHeight="1">
      <c r="A58" s="41" t="inlineStr">
        <is>
          <t>Phase 3 — Full Agentic</t>
        </is>
      </c>
      <c r="B58" s="42" t="inlineStr">
        <is>
          <t>#7 Category Strategy, #8 CSRD, #11 Should-Cost, #14 Decision Intel, #15 EPC Review, #16 Risk, #19 Auto-Tender, #20 Network</t>
        </is>
      </c>
      <c r="C58" s="27" t="inlineStr">
        <is>
          <t>Months 7–12</t>
        </is>
      </c>
      <c r="D58" s="43">
        <f>G37+G38+G41+G44+G45+G46+G49+G50</f>
        <v/>
      </c>
      <c r="E58" s="43">
        <f>H37+H38+H41+H44+H45+H46+H49+H50</f>
        <v/>
      </c>
      <c r="F58" s="43">
        <f>I37+I38+I41+I44+I45+I46+I49+I50</f>
        <v/>
      </c>
      <c r="G58" s="24">
        <f>G57+E58</f>
        <v/>
      </c>
    </row>
    <row r="59" ht="22" customHeight="1">
      <c r="A59" s="44" t="inlineStr">
        <is>
          <t>FULL PROGRAMME</t>
        </is>
      </c>
      <c r="B59" s="45" t="inlineStr">
        <is>
          <t>All 20 use cases deployed</t>
        </is>
      </c>
      <c r="C59" s="46" t="inlineStr">
        <is>
          <t>Year 1+</t>
        </is>
      </c>
      <c r="D59" s="47">
        <f>G51</f>
        <v/>
      </c>
      <c r="E59" s="47">
        <f>H51</f>
        <v/>
      </c>
      <c r="F59" s="47">
        <f>I51</f>
        <v/>
      </c>
      <c r="G59" s="24">
        <f>G58+E59</f>
        <v/>
      </c>
    </row>
  </sheetData>
  <mergeCells count="6">
    <mergeCell ref="A5:T5"/>
    <mergeCell ref="A1:T2"/>
    <mergeCell ref="A51:F51"/>
    <mergeCell ref="A3:T3"/>
    <mergeCell ref="A53:T53"/>
    <mergeCell ref="A29:T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22" customHeight="1">
      <c r="A1" s="1" t="inlineStr">
        <is>
          <t>PROGRAMME VALUE SUMMARY — Numbers to Update in Presentation</t>
        </is>
      </c>
    </row>
    <row r="2" ht="22" customHeight="1"/>
    <row r="4">
      <c r="A4" s="48" t="inlineStr">
        <is>
          <t>Metric</t>
        </is>
      </c>
      <c r="B4" s="48" t="inlineStr">
        <is>
          <t>Bear</t>
        </is>
      </c>
      <c r="C4" s="48" t="inlineStr">
        <is>
          <t>Base</t>
        </is>
      </c>
      <c r="D4" s="48" t="inlineStr">
        <is>
          <t>Bull</t>
        </is>
      </c>
      <c r="E4" s="48" t="inlineStr">
        <is>
          <t>Use in Deck</t>
        </is>
      </c>
      <c r="F4" s="48" t="n"/>
      <c r="G4" s="48" t="n"/>
      <c r="H4" s="48" t="n"/>
    </row>
    <row r="5" ht="18" customHeight="1">
      <c r="A5" s="38" t="inlineStr">
        <is>
          <t>Phase 0 Quick Wins (SAP Joule + Jaggaer JAI)</t>
        </is>
      </c>
      <c r="B5" s="40">
        <f>'📊 Use Case Value Register'!D55</f>
        <v/>
      </c>
      <c r="C5" s="40">
        <f>'📊 Use Case Value Register'!E55</f>
        <v/>
      </c>
      <c r="D5" s="40">
        <f>'📊 Use Case Value Register'!F55</f>
        <v/>
      </c>
      <c r="E5" s="49" t="inlineStr">
        <is>
          <t>Year 1 fast start</t>
        </is>
      </c>
    </row>
    <row r="6" ht="18" customHeight="1">
      <c r="A6" s="41" t="inlineStr">
        <is>
          <t>Phase 1 Pilots (Spend, Contract, Supplier Monitor)</t>
        </is>
      </c>
      <c r="B6" s="43">
        <f>'📊 Use Case Value Register'!D56</f>
        <v/>
      </c>
      <c r="C6" s="43">
        <f>'📊 Use Case Value Register'!E56</f>
        <v/>
      </c>
      <c r="D6" s="43">
        <f>'📊 Use Case Value Register'!F56</f>
        <v/>
      </c>
      <c r="E6" s="50" t="inlineStr">
        <is>
          <t>90-day review gate</t>
        </is>
      </c>
    </row>
    <row r="7" ht="18" customHeight="1">
      <c r="A7" s="38" t="inlineStr">
        <is>
          <t>Phase 2 Expanded (6 use cases)</t>
        </is>
      </c>
      <c r="B7" s="40">
        <f>'📊 Use Case Value Register'!D57</f>
        <v/>
      </c>
      <c r="C7" s="40">
        <f>'📊 Use Case Value Register'!E57</f>
        <v/>
      </c>
      <c r="D7" s="40">
        <f>'📊 Use Case Value Register'!F57</f>
        <v/>
      </c>
      <c r="E7" s="49" t="inlineStr">
        <is>
          <t>Month 4-6 value</t>
        </is>
      </c>
    </row>
    <row r="8" ht="18" customHeight="1">
      <c r="A8" s="41" t="inlineStr">
        <is>
          <t>Phase 3 Full Agentic (8 use cases)</t>
        </is>
      </c>
      <c r="B8" s="43">
        <f>'📊 Use Case Value Register'!D58</f>
        <v/>
      </c>
      <c r="C8" s="43">
        <f>'📊 Use Case Value Register'!E58</f>
        <v/>
      </c>
      <c r="D8" s="43">
        <f>'📊 Use Case Value Register'!F58</f>
        <v/>
      </c>
      <c r="E8" s="50" t="inlineStr">
        <is>
          <t>Month 7-12 value</t>
        </is>
      </c>
    </row>
    <row r="9" ht="22" customHeight="1">
      <c r="A9" s="51" t="inlineStr">
        <is>
          <t>TOTAL ANNUAL VALUE — ALL 20 USE CASES</t>
        </is>
      </c>
      <c r="B9" s="52">
        <f>'📊 Use Case Value Register'!G51</f>
        <v/>
      </c>
      <c r="C9" s="52">
        <f>'📊 Use Case Value Register'!H51</f>
        <v/>
      </c>
      <c r="D9" s="52">
        <f>'📊 Use Case Value Register'!I51</f>
        <v/>
      </c>
      <c r="E9" s="53" t="inlineStr">
        <is>
          <t>Update Slide 10 TCO box</t>
        </is>
      </c>
    </row>
    <row r="10" ht="22" customHeight="1">
      <c r="A10" s="51" t="inlineStr">
        <is>
          <t>Total Programme CAPEX</t>
        </is>
      </c>
      <c r="B10" s="52">
        <f>'📊 Use Case Value Register'!O51</f>
        <v/>
      </c>
      <c r="C10" s="52">
        <f>'📊 Use Case Value Register'!O51</f>
        <v/>
      </c>
      <c r="D10" s="52">
        <f>'📊 Use Case Value Register'!O51</f>
        <v/>
      </c>
      <c r="E10" s="53" t="inlineStr">
        <is>
          <t>Update hardware cost slide</t>
        </is>
      </c>
    </row>
    <row r="11" ht="22" customHeight="1">
      <c r="A11" s="51" t="inlineStr">
        <is>
          <t>Total Annual OPEX</t>
        </is>
      </c>
      <c r="B11" s="52">
        <f>'📊 Use Case Value Register'!P51</f>
        <v/>
      </c>
      <c r="C11" s="52">
        <f>'📊 Use Case Value Register'!P51</f>
        <v/>
      </c>
      <c r="D11" s="52">
        <f>'📊 Use Case Value Register'!P51</f>
        <v/>
      </c>
      <c r="E11" s="53" t="inlineStr">
        <is>
          <t>Update TCO slide</t>
        </is>
      </c>
    </row>
    <row r="12" ht="22" customHeight="1">
      <c r="A12" s="51" t="inlineStr">
        <is>
          <t>3-Year NPV</t>
        </is>
      </c>
      <c r="B12" s="52">
        <f>'📊 Use Case Value Register'!R51</f>
        <v/>
      </c>
      <c r="C12" s="52">
        <f>'📊 Use Case Value Register'!R51</f>
        <v/>
      </c>
      <c r="D12" s="52">
        <f>'📊 Use Case Value Register'!R51</f>
        <v/>
      </c>
      <c r="E12" s="53" t="inlineStr">
        <is>
          <t>Update ROI box</t>
        </is>
      </c>
    </row>
    <row r="13" ht="22" customHeight="1">
      <c r="A13" s="51" t="inlineStr">
        <is>
          <t>Programme ROI</t>
        </is>
      </c>
      <c r="B13" s="52">
        <f>'📊 Use Case Value Register'!S51</f>
        <v/>
      </c>
      <c r="C13" s="52">
        <f>'📊 Use Case Value Register'!S51</f>
        <v/>
      </c>
      <c r="D13" s="52">
        <f>'📊 Use Case Value Register'!S51</f>
        <v/>
      </c>
      <c r="E13" s="53" t="inlineStr">
        <is>
          <t>Update ROI box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2026-03-17T23:43:44Z</dcterms:created>
  <dcterms:modified xmlns:dcterms="http://purl.org/dc/terms/" xmlns:xsi="http://www.w3.org/2001/XMLSchema-instance" xsi:type="dcterms:W3CDTF">2026-03-17T23:43:44Z</dcterms:modified>
</cp:coreProperties>
</file>