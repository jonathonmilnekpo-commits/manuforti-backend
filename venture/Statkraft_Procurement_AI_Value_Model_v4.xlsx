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Value Register" sheetId="1" state="visible" r:id="rId1"/>
    <sheet xmlns:r="http://schemas.openxmlformats.org/officeDocument/2006/relationships" name="📅 Phased Rollout" sheetId="2" state="visible" r:id="rId2"/>
    <sheet xmlns:r="http://schemas.openxmlformats.org/officeDocument/2006/relationships" name="📐 Methodology" sheetId="3" state="visible" r:id="rId3"/>
    <sheet xmlns:r="http://schemas.openxmlformats.org/officeDocument/2006/relationships" name="🎯 Summary for D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&quot;x&quot;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2D3A4A"/>
      <sz val="10"/>
    </font>
    <font>
      <name val="Calibri"/>
      <color rgb="002D3A4A"/>
      <sz val="9"/>
    </font>
    <font>
      <name val="Calibri"/>
      <i val="1"/>
      <color rgb="002D3A4A"/>
      <sz val="8"/>
    </font>
    <font>
      <name val="Calibri"/>
      <color rgb="002D3A4A"/>
      <sz val="10"/>
    </font>
    <font>
      <name val="Calibri"/>
      <b val="1"/>
      <color rgb="0027AE60"/>
      <sz val="11"/>
    </font>
    <font>
      <name val="Calibri"/>
      <color rgb="00C0392B"/>
      <sz val="10"/>
    </font>
    <font>
      <name val="Calibri"/>
      <b val="1"/>
      <color rgb="0027AE60"/>
      <sz val="9"/>
    </font>
    <font>
      <name val="Calibri"/>
      <b val="1"/>
      <color rgb="00002147"/>
      <sz val="10"/>
    </font>
    <font>
      <name val="Calibri"/>
      <color rgb="00D97F06"/>
      <sz val="9"/>
    </font>
    <font>
      <name val="Calibri"/>
      <b val="1"/>
      <color rgb="0027AE60"/>
      <sz val="10"/>
    </font>
    <font>
      <name val="Calibri"/>
      <b val="1"/>
      <color rgb="00FFFFFF"/>
      <sz val="10"/>
    </font>
    <font>
      <name val="Calibri"/>
      <b val="1"/>
      <color rgb="00D97F06"/>
      <sz val="9"/>
    </font>
    <font>
      <name val="Calibri"/>
      <b val="1"/>
      <color rgb="00C0392B"/>
      <sz val="9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i val="1"/>
      <color rgb="002D3A4A"/>
      <sz val="9"/>
    </font>
    <font>
      <name val="Calibri"/>
      <color rgb="00FFFFFF"/>
      <sz val="9"/>
    </font>
    <font>
      <name val="Calibri"/>
      <i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002147"/>
      </patternFill>
    </fill>
    <fill>
      <patternFill patternType="solid">
        <fgColor rgb="002B6CB0"/>
      </patternFill>
    </fill>
    <fill>
      <patternFill patternType="solid">
        <fgColor rgb="00EBF4FF"/>
      </patternFill>
    </fill>
    <fill>
      <patternFill patternType="solid">
        <fgColor rgb="00D97F06"/>
      </patternFill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D1F2EB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041220"/>
      </patternFill>
    </fill>
    <fill>
      <patternFill patternType="solid">
        <fgColor rgb="0027AE6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164" fontId="13" fillId="9" borderId="1" applyAlignment="1" pivotButton="0" quotePrefix="0" xfId="0">
      <alignment horizontal="right" vertical="center"/>
    </xf>
    <xf numFmtId="165" fontId="14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/>
    </xf>
    <xf numFmtId="0" fontId="15" fillId="2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right" vertical="center"/>
    </xf>
    <xf numFmtId="164" fontId="18" fillId="2" borderId="1" applyAlignment="1" pivotButton="0" quotePrefix="0" xfId="0">
      <alignment horizontal="right" vertical="center"/>
    </xf>
    <xf numFmtId="165" fontId="19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1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0" fontId="20" fillId="4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 wrapText="1"/>
    </xf>
    <xf numFmtId="164" fontId="8" fillId="10" borderId="1" applyAlignment="1" pivotButton="0" quotePrefix="0" xfId="0">
      <alignment horizontal="right" vertical="center"/>
    </xf>
    <xf numFmtId="0" fontId="20" fillId="1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21" fillId="2" borderId="1" applyAlignment="1" pivotButton="0" quotePrefix="0" xfId="0">
      <alignment horizontal="left" vertical="center" wrapText="1"/>
    </xf>
    <xf numFmtId="0" fontId="2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2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20" fillId="10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left" vertical="center"/>
    </xf>
    <xf numFmtId="0" fontId="18" fillId="13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165" fontId="18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12" customWidth="1" min="4" max="4"/>
    <col width="58" customWidth="1" min="5" max="5"/>
    <col width="14" customWidth="1" min="6" max="6"/>
    <col width="14" customWidth="1" min="7" max="7"/>
    <col width="14" customWidth="1" min="8" max="8"/>
    <col width="10" customWidth="1" min="9" max="9"/>
    <col width="24" customWidth="1" min="10" max="10"/>
    <col width="9" customWidth="1" min="11" max="11"/>
    <col width="7" customWidth="1" min="12" max="12"/>
    <col width="13" customWidth="1" min="13" max="13"/>
    <col width="13" customWidth="1" min="14" max="14"/>
    <col width="16" customWidth="1" min="15" max="15"/>
    <col width="15" customWidth="1" min="16" max="16"/>
    <col width="7" customWidth="1" min="17" max="17"/>
    <col width="32" customWidth="1" min="18" max="18"/>
  </cols>
  <sheetData>
    <row r="1" ht="28" customHeight="1">
      <c r="A1" s="1" t="inlineStr">
        <is>
          <t>STATKRAFT PROCUREMENT AI — USE CASE VALUE REGISTER  |  Based on €1.9B annual spend  |  March 2026</t>
        </is>
      </c>
    </row>
    <row r="2" ht="16" customHeight="1"/>
    <row r="3">
      <c r="A3" s="2" t="inlineStr">
        <is>
          <t>FTE hourly rate = €120,000 ÷ 1,750 hrs = €68.57/hr  |  Spend = €1.9B  |  FTEs = 45  |  All values in EUR  |  Bear = 50% of base  |  Bull = 150% of base (unless stated)</t>
        </is>
      </c>
    </row>
    <row r="5">
      <c r="A5" s="3" t="inlineStr">
        <is>
          <t>#</t>
        </is>
      </c>
      <c r="B5" s="3" t="inlineStr">
        <is>
          <t>Use Case</t>
        </is>
      </c>
      <c r="C5" s="3" t="inlineStr">
        <is>
          <t>Category</t>
        </is>
      </c>
      <c r="D5" s="3" t="inlineStr">
        <is>
          <t>Calc Type</t>
        </is>
      </c>
      <c r="E5" s="3" t="inlineStr">
        <is>
          <t>Methodology — Formula &amp; Assumptions</t>
        </is>
      </c>
      <c r="F5" s="3" t="inlineStr">
        <is>
          <t>Bear
EUR</t>
        </is>
      </c>
      <c r="G5" s="3" t="inlineStr">
        <is>
          <t>Base
EUR</t>
        </is>
      </c>
      <c r="H5" s="3" t="inlineStr">
        <is>
          <t>Bull
EUR</t>
        </is>
      </c>
      <c r="I5" s="3" t="inlineStr">
        <is>
          <t>Confidence</t>
        </is>
      </c>
      <c r="J5" s="3" t="inlineStr">
        <is>
          <t>Benchmark Source</t>
        </is>
      </c>
      <c r="K5" s="3" t="inlineStr">
        <is>
          <t>Effort
(wks)</t>
        </is>
      </c>
      <c r="L5" s="3" t="inlineStr">
        <is>
          <t>Track</t>
        </is>
      </c>
      <c r="M5" s="3" t="inlineStr">
        <is>
          <t>One-off
Cost EUR</t>
        </is>
      </c>
      <c r="N5" s="3" t="inlineStr">
        <is>
          <t>Annual
Cost EUR</t>
        </is>
      </c>
      <c r="O5" s="3" t="inlineStr">
        <is>
          <t>Net Annual
Value EUR</t>
        </is>
      </c>
      <c r="P5" s="3" t="inlineStr">
        <is>
          <t>3yr NPV
EUR</t>
        </is>
      </c>
      <c r="Q5" s="3" t="inlineStr">
        <is>
          <t>ROI</t>
        </is>
      </c>
      <c r="R5" s="3" t="inlineStr">
        <is>
          <t>Notes</t>
        </is>
      </c>
    </row>
    <row r="6" ht="80" customHeight="1">
      <c r="A6" s="4" t="n">
        <v>1</v>
      </c>
      <c r="B6" s="5" t="inlineStr">
        <is>
          <t>Spend Classification &amp; Enrichment</t>
        </is>
      </c>
      <c r="C6" s="6" t="inlineStr">
        <is>
          <t>Data Quality</t>
        </is>
      </c>
      <c r="D6" s="7" t="inlineStr">
        <is>
          <t>Type B</t>
        </is>
      </c>
      <c r="E6" s="8" t="inlineStr">
        <is>
          <t>Formula: Annual spend × (Target accuracy 88% − Current accuracy 65%) × 5% spend recovery rate
Basis: 23% accuracy gap means 23% of spend mis-classified. Recovery = 5% of mis-classified spend redirected to preferred suppliers/contracts.
Peer: Equinor achieved 500M NOK/yr from automation; McKinsey: AI classification improves savings 5–10%.</t>
        </is>
      </c>
      <c r="F6" s="9" t="n">
        <v>10925000</v>
      </c>
      <c r="G6" s="10" t="n">
        <v>21850000</v>
      </c>
      <c r="H6" s="11" t="n">
        <v>32775000</v>
      </c>
      <c r="I6" s="12" t="inlineStr">
        <is>
          <t>High</t>
        </is>
      </c>
      <c r="J6" s="8" t="inlineStr">
        <is>
          <t>McKinsey + Equinor</t>
        </is>
      </c>
      <c r="K6" s="6" t="inlineStr">
        <is>
          <t>4–6 wks</t>
        </is>
      </c>
      <c r="L6" s="13" t="inlineStr">
        <is>
          <t>B</t>
        </is>
      </c>
      <c r="M6" s="14" t="n">
        <v>0</v>
      </c>
      <c r="N6" s="14" t="n">
        <v>15000</v>
      </c>
      <c r="O6" s="10" t="n">
        <v>21835000</v>
      </c>
      <c r="P6" s="10" t="n">
        <v>65505000</v>
      </c>
      <c r="Q6" s="15" t="n">
        <v>1456.7</v>
      </c>
      <c r="R6" s="16" t="inlineStr"/>
    </row>
    <row r="7" ht="80" customHeight="1">
      <c r="A7" s="4" t="n">
        <v>2</v>
      </c>
      <c r="B7" s="17" t="inlineStr">
        <is>
          <t>Contract NLP Scanning &amp; Review</t>
        </is>
      </c>
      <c r="C7" s="18" t="inlineStr">
        <is>
          <t>Contract Mgmt</t>
        </is>
      </c>
      <c r="D7" s="19" t="inlineStr">
        <is>
          <t>Type A</t>
        </is>
      </c>
      <c r="E7" s="20" t="inlineStr">
        <is>
          <t>Formula: FTE hourly rate × Hours saved per contract × Number of contracts per year
Hours saved: 4 hrs manual review → 0.8 hrs with AI (80% reduction) = 3.2 hrs saved per contract.
FTE hourly rate: €120,000 ÷ 1,750 working hours = €68.57/hr.
Peer: Luminance/Icertis benchmark: 80% faster review. 31% of companies already using AI for contracts.</t>
        </is>
      </c>
      <c r="F7" s="9" t="n">
        <v>131657</v>
      </c>
      <c r="G7" s="10" t="n">
        <v>263314</v>
      </c>
      <c r="H7" s="11" t="n">
        <v>394971</v>
      </c>
      <c r="I7" s="12" t="inlineStr">
        <is>
          <t>High</t>
        </is>
      </c>
      <c r="J7" s="20" t="inlineStr">
        <is>
          <t>Luminance/Icertis + 31% adoption data</t>
        </is>
      </c>
      <c r="K7" s="18" t="inlineStr">
        <is>
          <t>6–8 wks</t>
        </is>
      </c>
      <c r="L7" s="13" t="inlineStr">
        <is>
          <t>B</t>
        </is>
      </c>
      <c r="M7" s="14" t="n">
        <v>5000</v>
      </c>
      <c r="N7" s="14" t="n">
        <v>8000</v>
      </c>
      <c r="O7" s="10" t="n">
        <v>255314</v>
      </c>
      <c r="P7" s="10" t="n">
        <v>760942</v>
      </c>
      <c r="Q7" s="15" t="n">
        <v>20.3</v>
      </c>
      <c r="R7" s="21" t="inlineStr"/>
    </row>
    <row r="8" ht="80" customHeight="1">
      <c r="A8" s="4" t="n">
        <v>3</v>
      </c>
      <c r="B8" s="5" t="inlineStr">
        <is>
          <t>Supplier Monitoring Agent</t>
        </is>
      </c>
      <c r="C8" s="6" t="inlineStr">
        <is>
          <t>Risk Mgmt</t>
        </is>
      </c>
      <c r="D8" s="19" t="inlineStr">
        <is>
          <t>Type A</t>
        </is>
      </c>
      <c r="E8" s="8" t="inlineStr">
        <is>
          <t>Formula: Annual manual monitoring cost × 70% reduction
Baseline: Statkraft estimate €150K/yr for manual supplier review programme.
AI replaces annual reviews with continuous automated monitoring — 70% cost reduction is conservative.
Peer: Resilinc (Gartner Magic Quadrant Leader) live with real-time disruption/tariff/sanctions monitoring.</t>
        </is>
      </c>
      <c r="F8" s="9" t="n">
        <v>52500</v>
      </c>
      <c r="G8" s="10" t="n">
        <v>105000</v>
      </c>
      <c r="H8" s="11" t="n">
        <v>157500</v>
      </c>
      <c r="I8" s="12" t="inlineStr">
        <is>
          <t>High</t>
        </is>
      </c>
      <c r="J8" s="8" t="inlineStr">
        <is>
          <t>Resilinc Gartner Leader</t>
        </is>
      </c>
      <c r="K8" s="6" t="inlineStr">
        <is>
          <t>8–10 wks</t>
        </is>
      </c>
      <c r="L8" s="22" t="inlineStr">
        <is>
          <t>D</t>
        </is>
      </c>
      <c r="M8" s="14" t="n">
        <v>10000</v>
      </c>
      <c r="N8" s="14" t="n">
        <v>25000</v>
      </c>
      <c r="O8" s="10" t="n">
        <v>80000</v>
      </c>
      <c r="P8" s="10" t="n">
        <v>230000</v>
      </c>
      <c r="Q8" s="15" t="n">
        <v>3</v>
      </c>
      <c r="R8" s="16" t="inlineStr"/>
    </row>
    <row r="9" ht="80" customHeight="1">
      <c r="A9" s="4" t="n">
        <v>4</v>
      </c>
      <c r="B9" s="17" t="inlineStr">
        <is>
          <t>RFQ &amp; Tender Drafting Agent</t>
        </is>
      </c>
      <c r="C9" s="18" t="inlineStr">
        <is>
          <t>Sourcing</t>
        </is>
      </c>
      <c r="D9" s="19" t="inlineStr">
        <is>
          <t>Type A</t>
        </is>
      </c>
      <c r="E9" s="20" t="inlineStr">
        <is>
          <t>Formula: FTE hourly rate × Hours saved per event × Number of sourcing events per year
Hours saved: 40 hrs per event × 75% reduction = 30 hrs saved per event.
FTE hourly rate: €68.57/hr.
Note: Only 250 events assumed — actual savings scale with volume.
Peer: Ørsted and BP live with autonomous RFQ generation. Fairmarkit: 10× more events per FTE.</t>
        </is>
      </c>
      <c r="F9" s="9" t="n">
        <v>257143</v>
      </c>
      <c r="G9" s="10" t="n">
        <v>514286</v>
      </c>
      <c r="H9" s="11" t="n">
        <v>771429</v>
      </c>
      <c r="I9" s="12" t="inlineStr">
        <is>
          <t>High</t>
        </is>
      </c>
      <c r="J9" s="20" t="inlineStr">
        <is>
          <t>Ørsted + BP live + Fairmarkit $40K/buyer/week</t>
        </is>
      </c>
      <c r="K9" s="18" t="inlineStr">
        <is>
          <t>8–12 wks</t>
        </is>
      </c>
      <c r="L9" s="22" t="inlineStr">
        <is>
          <t>D</t>
        </is>
      </c>
      <c r="M9" s="14" t="n">
        <v>15000</v>
      </c>
      <c r="N9" s="14" t="n">
        <v>30000</v>
      </c>
      <c r="O9" s="10" t="n">
        <v>484286</v>
      </c>
      <c r="P9" s="10" t="n">
        <v>1437858</v>
      </c>
      <c r="Q9" s="15" t="n">
        <v>11.4</v>
      </c>
      <c r="R9" s="21" t="inlineStr"/>
    </row>
    <row r="10" ht="80" customHeight="1">
      <c r="A10" s="4" t="n">
        <v>5</v>
      </c>
      <c r="B10" s="5" t="inlineStr">
        <is>
          <t>Demand Forecasting — MRO &amp; Capex</t>
        </is>
      </c>
      <c r="C10" s="6" t="inlineStr">
        <is>
          <t>MRO</t>
        </is>
      </c>
      <c r="D10" s="7" t="inlineStr">
        <is>
          <t>Type B</t>
        </is>
      </c>
      <c r="E10" s="8" t="inlineStr">
        <is>
          <t>Formula: (Annual spend × MRO emergency premium rate × 50% reduction)
         + (Annual spend × 2% inventory carrying cost × 13% inventory reduction)
Emergency premium: 3% of €1.9B = €57M in premium-priced emergency buys. AI forecasting cuts this 50% = €28.5M.
Inventory saving: 2% carry rate on reduced stock × 13% inventory reduction = €4.9M additional.
Peer: Vattenfall: 6–12 month horizon forecasting live. McKinsey: 35% inventory reduction with AI.</t>
        </is>
      </c>
      <c r="F10" s="9" t="n">
        <v>16720000</v>
      </c>
      <c r="G10" s="10" t="n">
        <v>33440000</v>
      </c>
      <c r="H10" s="11" t="n">
        <v>50160000</v>
      </c>
      <c r="I10" s="12" t="inlineStr">
        <is>
          <t>High</t>
        </is>
      </c>
      <c r="J10" s="8" t="inlineStr">
        <is>
          <t>Vattenfall live + McKinsey 35% inventory reduction</t>
        </is>
      </c>
      <c r="K10" s="6" t="inlineStr">
        <is>
          <t>12–16 wks</t>
        </is>
      </c>
      <c r="L10" s="22" t="inlineStr">
        <is>
          <t>D</t>
        </is>
      </c>
      <c r="M10" s="14" t="n">
        <v>20000</v>
      </c>
      <c r="N10" s="14" t="n">
        <v>40000</v>
      </c>
      <c r="O10" s="10" t="n">
        <v>33400000</v>
      </c>
      <c r="P10" s="10" t="n">
        <v>100180000</v>
      </c>
      <c r="Q10" s="15" t="n">
        <v>557.3</v>
      </c>
      <c r="R10" s="16" t="inlineStr"/>
    </row>
    <row r="11" ht="80" customHeight="1">
      <c r="A11" s="4" t="n">
        <v>6</v>
      </c>
      <c r="B11" s="17" t="inlineStr">
        <is>
          <t>Negotiation Intelligence &amp; Preparation</t>
        </is>
      </c>
      <c r="C11" s="18" t="inlineStr">
        <is>
          <t>Sourcing</t>
        </is>
      </c>
      <c r="D11" s="7" t="inlineStr">
        <is>
          <t>Type B</t>
        </is>
      </c>
      <c r="E11" s="20" t="inlineStr">
        <is>
          <t>Formula: Annual spend × 0.3% additional savings rate
Basis: 0.3% is conservative. AI-assisted negotiation packs provide market benchmarks, should-cost data, BATNA analysis.
Even 0.3% of €1.9B = €5.7M. Used 0.3% vs Arkestro's reported 18.8% per event as a very conservative enterprise-wide rate.
Peer: Arkestro: 18.8% savings per $1M spend. McKinsey should-cost: 13% raw materials savings.</t>
        </is>
      </c>
      <c r="F11" s="9" t="n">
        <v>2850000</v>
      </c>
      <c r="G11" s="10" t="n">
        <v>5700000</v>
      </c>
      <c r="H11" s="11" t="n">
        <v>8550000</v>
      </c>
      <c r="I11" s="23" t="inlineStr">
        <is>
          <t>Medium</t>
        </is>
      </c>
      <c r="J11" s="20" t="inlineStr">
        <is>
          <t>Arkestro 18.8% + McKinsey 13% should-cost</t>
        </is>
      </c>
      <c r="K11" s="18" t="inlineStr">
        <is>
          <t>8–12 wks</t>
        </is>
      </c>
      <c r="L11" s="22" t="inlineStr">
        <is>
          <t>D</t>
        </is>
      </c>
      <c r="M11" s="14" t="n">
        <v>10000</v>
      </c>
      <c r="N11" s="14" t="n">
        <v>20000</v>
      </c>
      <c r="O11" s="10" t="n">
        <v>5680000</v>
      </c>
      <c r="P11" s="10" t="n">
        <v>17030000</v>
      </c>
      <c r="Q11" s="15" t="n">
        <v>190</v>
      </c>
      <c r="R11" s="21" t="inlineStr"/>
    </row>
    <row r="12" ht="80" customHeight="1">
      <c r="A12" s="4" t="n">
        <v>7</v>
      </c>
      <c r="B12" s="5" t="inlineStr">
        <is>
          <t>Category Strategy Agent</t>
        </is>
      </c>
      <c r="C12" s="6" t="inlineStr">
        <is>
          <t>Strategy</t>
        </is>
      </c>
      <c r="D12" s="7" t="inlineStr">
        <is>
          <t>Type B</t>
        </is>
      </c>
      <c r="E12" s="8" t="inlineStr">
        <is>
          <t>Formula: Annual spend × 0.5% strategic savings from better category coverage
Basis: Increase from 3 to 12 category strategies per year (same team). Each strategy covers ~4% of spend.
9 additional strategies × 4% of spend each × 1.3% avg savings rate = 0.47% of total spend.
Peer: McKinsey: autonomous category agents deliver 15–30% efficiency. BCG: 15–45% cost reduction with GenAI.</t>
        </is>
      </c>
      <c r="F12" s="9" t="n">
        <v>4750000</v>
      </c>
      <c r="G12" s="10" t="n">
        <v>9500000</v>
      </c>
      <c r="H12" s="11" t="n">
        <v>19000000</v>
      </c>
      <c r="I12" s="23" t="inlineStr">
        <is>
          <t>Medium</t>
        </is>
      </c>
      <c r="J12" s="8" t="inlineStr">
        <is>
          <t>McKinsey 15-30% + BCG 15-45%</t>
        </is>
      </c>
      <c r="K12" s="6" t="inlineStr">
        <is>
          <t>12–20 wks</t>
        </is>
      </c>
      <c r="L12" s="22" t="inlineStr">
        <is>
          <t>D</t>
        </is>
      </c>
      <c r="M12" s="14" t="n">
        <v>25000</v>
      </c>
      <c r="N12" s="14" t="n">
        <v>50000</v>
      </c>
      <c r="O12" s="10" t="n">
        <v>9450000</v>
      </c>
      <c r="P12" s="10" t="n">
        <v>28325000</v>
      </c>
      <c r="Q12" s="15" t="n">
        <v>126.7</v>
      </c>
      <c r="R12" s="16" t="inlineStr"/>
    </row>
    <row r="13" ht="80" customHeight="1">
      <c r="A13" s="4" t="n">
        <v>8</v>
      </c>
      <c r="B13" s="17" t="inlineStr">
        <is>
          <t>CSRD &amp; ESG Compliance Automation</t>
        </is>
      </c>
      <c r="C13" s="18" t="inlineStr">
        <is>
          <t>Compliance</t>
        </is>
      </c>
      <c r="D13" s="19" t="inlineStr">
        <is>
          <t>Type A</t>
        </is>
      </c>
      <c r="E13" s="20" t="inlineStr">
        <is>
          <t>Formula: FTE hourly rate × Hours per check × Checks per supplier per year × Suppliers × 80% automation rate
Hours per check: 0.8 hours average (research, documentation, verification).
FTE hourly rate: €68.57/hr.
Regulatory requirement: CSRD mandatory for Statkraft from FY2026 reporting.
Plus penalty risk reduction (unquantified here — treated as strategic value).</t>
        </is>
      </c>
      <c r="F13" s="9" t="n">
        <v>52663</v>
      </c>
      <c r="G13" s="10" t="n">
        <v>105326</v>
      </c>
      <c r="H13" s="11" t="n">
        <v>157989</v>
      </c>
      <c r="I13" s="12" t="inlineStr">
        <is>
          <t>High</t>
        </is>
      </c>
      <c r="J13" s="20" t="inlineStr">
        <is>
          <t>CSRD mandatory 2026 + Resilinc agent live</t>
        </is>
      </c>
      <c r="K13" s="18" t="inlineStr">
        <is>
          <t>10–14 wks</t>
        </is>
      </c>
      <c r="L13" s="22" t="inlineStr">
        <is>
          <t>D</t>
        </is>
      </c>
      <c r="M13" s="14" t="n">
        <v>15000</v>
      </c>
      <c r="N13" s="14" t="n">
        <v>25000</v>
      </c>
      <c r="O13" s="10" t="n">
        <v>80326</v>
      </c>
      <c r="P13" s="10" t="n">
        <v>225978</v>
      </c>
      <c r="Q13" s="15" t="n">
        <v>2.6</v>
      </c>
      <c r="R13" s="21" t="inlineStr"/>
    </row>
    <row r="14" ht="80" customHeight="1">
      <c r="A14" s="4" t="n">
        <v>9</v>
      </c>
      <c r="B14" s="5" t="inlineStr">
        <is>
          <t>Invoice Processing &amp; Anomaly Detection</t>
        </is>
      </c>
      <c r="C14" s="6" t="inlineStr">
        <is>
          <t>P2P</t>
        </is>
      </c>
      <c r="D14" s="19" t="inlineStr">
        <is>
          <t>Type A</t>
        </is>
      </c>
      <c r="E14" s="8" t="inlineStr">
        <is>
          <t>Formula: FTE hourly rate × (Invoice processing time saved in hours) × Annual invoice volume
Time saved: 15 min manual → 4.5 min with AI = 10.5 min saved = 0.175 hrs per invoice.
FTE hourly rate: €68.57/hr.
Jaggaer anomaly detection live Q2 2025. SAP Joule invoice matching native Q4 2025.
Additional value: fraud/error detection estimated at 0.1% of invoice value (not included in base).</t>
        </is>
      </c>
      <c r="F14" s="9" t="n">
        <v>108000</v>
      </c>
      <c r="G14" s="10" t="n">
        <v>216000</v>
      </c>
      <c r="H14" s="11" t="n">
        <v>324000</v>
      </c>
      <c r="I14" s="12" t="inlineStr">
        <is>
          <t>High</t>
        </is>
      </c>
      <c r="J14" s="8" t="inlineStr">
        <is>
          <t>Jaggaer anomaly detection live + SAP Joule native</t>
        </is>
      </c>
      <c r="K14" s="6" t="inlineStr">
        <is>
          <t>4–6 wks</t>
        </is>
      </c>
      <c r="L14" s="13" t="inlineStr">
        <is>
          <t>B</t>
        </is>
      </c>
      <c r="M14" s="14" t="n">
        <v>0</v>
      </c>
      <c r="N14" s="14" t="n">
        <v>5000</v>
      </c>
      <c r="O14" s="10" t="n">
        <v>211000</v>
      </c>
      <c r="P14" s="10" t="n">
        <v>633000</v>
      </c>
      <c r="Q14" s="15" t="n">
        <v>43.2</v>
      </c>
      <c r="R14" s="16" t="inlineStr"/>
    </row>
    <row r="15" ht="80" customHeight="1">
      <c r="A15" s="4" t="n">
        <v>10</v>
      </c>
      <c r="B15" s="17" t="inlineStr">
        <is>
          <t>Market Intelligence Agent (Daily Briefings)</t>
        </is>
      </c>
      <c r="C15" s="18" t="inlineStr">
        <is>
          <t>Market Intel</t>
        </is>
      </c>
      <c r="D15" s="7" t="inlineStr">
        <is>
          <t>Type B</t>
        </is>
      </c>
      <c r="E15" s="20" t="inlineStr">
        <is>
          <t>Formula: Commodity-exposed spend × 1% better purchase timing improvement
Commodity-exposed spend: ~30% of total (steel, copper, cable, equipment) = €570M.
1% timing improvement on €570M = €5.7M. Conservative — steel/copper volatile 25–40% in 2024.
Peer: GEP: 15% lower logistics costs with AI supply chain. Equinor: live commodity monitoring.</t>
        </is>
      </c>
      <c r="F15" s="9" t="n">
        <v>2850000</v>
      </c>
      <c r="G15" s="10" t="n">
        <v>5700000</v>
      </c>
      <c r="H15" s="11" t="n">
        <v>11400000</v>
      </c>
      <c r="I15" s="23" t="inlineStr">
        <is>
          <t>Medium</t>
        </is>
      </c>
      <c r="J15" s="20" t="inlineStr">
        <is>
          <t>GEP 15% logistics + Equinor commodity monitoring</t>
        </is>
      </c>
      <c r="K15" s="18" t="inlineStr">
        <is>
          <t>2–4 wks</t>
        </is>
      </c>
      <c r="L15" s="13" t="inlineStr">
        <is>
          <t>A/B</t>
        </is>
      </c>
      <c r="M15" s="14" t="n">
        <v>0</v>
      </c>
      <c r="N15" s="14" t="n">
        <v>3000</v>
      </c>
      <c r="O15" s="10" t="n">
        <v>5697000</v>
      </c>
      <c r="P15" s="10" t="n">
        <v>17091000</v>
      </c>
      <c r="Q15" s="15" t="n">
        <v>1900</v>
      </c>
      <c r="R15" s="21" t="inlineStr"/>
    </row>
    <row r="16" ht="80" customHeight="1">
      <c r="A16" s="4" t="n">
        <v>11</v>
      </c>
      <c r="B16" s="5" t="inlineStr">
        <is>
          <t>Should-Cost Modelling Agent</t>
        </is>
      </c>
      <c r="C16" s="6" t="inlineStr">
        <is>
          <t>Cost Intelligence</t>
        </is>
      </c>
      <c r="D16" s="7" t="inlineStr">
        <is>
          <t>Type B</t>
        </is>
      </c>
      <c r="E16" s="8" t="inlineStr">
        <is>
          <t>Formula: Direct material spend × 1% savings from better cost baselines
Direct material spend: ~25% of total = €475M (equipment, cables, structural).
1% savings from should-cost models = €4.75M. McKinsey benchmark is 13% — using 1% as year-1 conservative.
Peer: McKinsey: 13% savings in raw-materials from AI should-cost modelling.</t>
        </is>
      </c>
      <c r="F16" s="9" t="n">
        <v>2375000</v>
      </c>
      <c r="G16" s="10" t="n">
        <v>4750000</v>
      </c>
      <c r="H16" s="11" t="n">
        <v>6175000</v>
      </c>
      <c r="I16" s="12" t="inlineStr">
        <is>
          <t>High</t>
        </is>
      </c>
      <c r="J16" s="8" t="inlineStr">
        <is>
          <t>McKinsey 13% raw materials should-cost</t>
        </is>
      </c>
      <c r="K16" s="6" t="inlineStr">
        <is>
          <t>8–12 wks</t>
        </is>
      </c>
      <c r="L16" s="22" t="inlineStr">
        <is>
          <t>D</t>
        </is>
      </c>
      <c r="M16" s="14" t="n">
        <v>20000</v>
      </c>
      <c r="N16" s="14" t="n">
        <v>35000</v>
      </c>
      <c r="O16" s="10" t="n">
        <v>4715000</v>
      </c>
      <c r="P16" s="10" t="n">
        <v>14125000</v>
      </c>
      <c r="Q16" s="15" t="n">
        <v>86.40000000000001</v>
      </c>
      <c r="R16" s="16" t="inlineStr"/>
    </row>
    <row r="17" ht="80" customHeight="1">
      <c r="A17" s="4" t="n">
        <v>12</v>
      </c>
      <c r="B17" s="17" t="inlineStr">
        <is>
          <t>Supplier Onboarding Automation</t>
        </is>
      </c>
      <c r="C17" s="18" t="inlineStr">
        <is>
          <t>Supplier Mgmt</t>
        </is>
      </c>
      <c r="D17" s="19" t="inlineStr">
        <is>
          <t>Type A</t>
        </is>
      </c>
      <c r="E17" s="20" t="inlineStr">
        <is>
          <t>Formula: FTE daily cost × Days saved per onboarding × New suppliers per year
Days saved: 45 days → 18 days = 27 days saved per new supplier.
FTE daily cost: €120K ÷ 250 working days = €480/day.
New suppliers per year: estimated 40.
Note: Low value relative to complexity — deprioritised vs. other use cases.</t>
        </is>
      </c>
      <c r="F17" s="9" t="n">
        <v>155520</v>
      </c>
      <c r="G17" s="10" t="n">
        <v>311040</v>
      </c>
      <c r="H17" s="11" t="n">
        <v>466560</v>
      </c>
      <c r="I17" s="23" t="inlineStr">
        <is>
          <t>Medium</t>
        </is>
      </c>
      <c r="J17" s="20" t="inlineStr">
        <is>
          <t>TealBook/Scoutbee (Coupa acquisition)</t>
        </is>
      </c>
      <c r="K17" s="18" t="inlineStr">
        <is>
          <t>10–14 wks</t>
        </is>
      </c>
      <c r="L17" s="24" t="inlineStr">
        <is>
          <t>C</t>
        </is>
      </c>
      <c r="M17" s="14" t="n">
        <v>10000</v>
      </c>
      <c r="N17" s="14" t="n">
        <v>15000</v>
      </c>
      <c r="O17" s="10" t="n">
        <v>296040</v>
      </c>
      <c r="P17" s="10" t="n">
        <v>878120</v>
      </c>
      <c r="Q17" s="15" t="n">
        <v>12.4</v>
      </c>
      <c r="R17" s="21" t="inlineStr"/>
    </row>
    <row r="18" ht="80" customHeight="1">
      <c r="A18" s="4" t="n">
        <v>13</v>
      </c>
      <c r="B18" s="5" t="inlineStr">
        <is>
          <t>Tail Spend Automation Agent</t>
        </is>
      </c>
      <c r="C18" s="6" t="inlineStr">
        <is>
          <t>P2P</t>
        </is>
      </c>
      <c r="D18" s="7" t="inlineStr">
        <is>
          <t>Type B</t>
        </is>
      </c>
      <c r="E18" s="8" t="inlineStr">
        <is>
          <t>Formula: Tail spend volume × 15% savings rate via competitive mini-tendering
Tail spend: 8% of €1.9B = €152M (purchases under €10K, typically uncompetitive).
15% savings via automated competitive tendering = €22.8M.
Peer: Fairmarkit: $40K savings per buyer per week. Zip: $6B+ in customer savings.</t>
        </is>
      </c>
      <c r="F18" s="9" t="n">
        <v>11400000</v>
      </c>
      <c r="G18" s="10" t="n">
        <v>22800000</v>
      </c>
      <c r="H18" s="11" t="n">
        <v>41040000</v>
      </c>
      <c r="I18" s="12" t="inlineStr">
        <is>
          <t>High</t>
        </is>
      </c>
      <c r="J18" s="8" t="inlineStr">
        <is>
          <t>Fairmarkit $40K/buyer/week + Zip $6B savings</t>
        </is>
      </c>
      <c r="K18" s="6" t="inlineStr">
        <is>
          <t>6–10 wks</t>
        </is>
      </c>
      <c r="L18" s="22" t="inlineStr">
        <is>
          <t>D</t>
        </is>
      </c>
      <c r="M18" s="14" t="n">
        <v>10000</v>
      </c>
      <c r="N18" s="14" t="n">
        <v>20000</v>
      </c>
      <c r="O18" s="10" t="n">
        <v>22780000</v>
      </c>
      <c r="P18" s="10" t="n">
        <v>68330000</v>
      </c>
      <c r="Q18" s="15" t="n">
        <v>760</v>
      </c>
      <c r="R18" s="16" t="inlineStr"/>
    </row>
    <row r="19" ht="80" customHeight="1">
      <c r="A19" s="4" t="n">
        <v>14</v>
      </c>
      <c r="B19" s="17" t="inlineStr">
        <is>
          <t>Project Cost Intelligence Agent</t>
        </is>
      </c>
      <c r="C19" s="18" t="inlineStr">
        <is>
          <t>Decision Intel</t>
        </is>
      </c>
      <c r="D19" s="25" t="inlineStr">
        <is>
          <t>Type C</t>
        </is>
      </c>
      <c r="E19" s="20" t="inlineStr">
        <is>
          <t>Formula: Annual capex × Average energy project overrun rate × % improvement from AI cost intelligence
Annual capex: €400M (approx 20% of total spend).
Avg energy project overrun: 40% (ScienceDirect 2025 — 662 projects, $1.358 trillion).
2% improvement in estimate accuracy = €3.2M better capital allocation.
Mechanism: Agent mines SAP/Jaggaer actuals vs estimates, builds live cost intelligence database.</t>
        </is>
      </c>
      <c r="F19" s="9" t="n">
        <v>1280000</v>
      </c>
      <c r="G19" s="10" t="n">
        <v>3200000</v>
      </c>
      <c r="H19" s="11" t="n">
        <v>6400000</v>
      </c>
      <c r="I19" s="23" t="inlineStr">
        <is>
          <t>Medium</t>
        </is>
      </c>
      <c r="J19" s="20" t="inlineStr">
        <is>
          <t>ScienceDirect 662 energy projects — 40% avg overrun</t>
        </is>
      </c>
      <c r="K19" s="18" t="inlineStr">
        <is>
          <t>16–24 wks</t>
        </is>
      </c>
      <c r="L19" s="22" t="inlineStr">
        <is>
          <t>D</t>
        </is>
      </c>
      <c r="M19" s="14" t="n">
        <v>30000</v>
      </c>
      <c r="N19" s="14" t="n">
        <v>60000</v>
      </c>
      <c r="O19" s="10" t="n">
        <v>3140000</v>
      </c>
      <c r="P19" s="10" t="n">
        <v>9390000</v>
      </c>
      <c r="Q19" s="15" t="n">
        <v>35.6</v>
      </c>
      <c r="R19" s="21" t="inlineStr"/>
    </row>
    <row r="20" ht="80" customHeight="1">
      <c r="A20" s="4" t="n">
        <v>15</v>
      </c>
      <c r="B20" s="5" t="inlineStr">
        <is>
          <t>EPC Contract AI Review</t>
        </is>
      </c>
      <c r="C20" s="6" t="inlineStr">
        <is>
          <t>Contract Mgmt</t>
        </is>
      </c>
      <c r="D20" s="19" t="inlineStr">
        <is>
          <t>Type A</t>
        </is>
      </c>
      <c r="E20" s="8" t="inlineStr">
        <is>
          <t>Formula: FTE hourly rate × Hours saved per EPC contract × EPC contracts per year
EPC contracts: ~20 major contracts per year, average 40 hrs manual review each.
Hours saved: 40% time reduction = 16 hrs saved per contract.
Peer: Ironclad ($150M ARR, 39% growth), Icertis (33 Fortune 100 clients) live with this.</t>
        </is>
      </c>
      <c r="F20" s="9" t="n">
        <v>10971</v>
      </c>
      <c r="G20" s="10" t="n">
        <v>21943</v>
      </c>
      <c r="H20" s="11" t="n">
        <v>32914</v>
      </c>
      <c r="I20" s="23" t="inlineStr">
        <is>
          <t>Medium</t>
        </is>
      </c>
      <c r="J20" s="8" t="inlineStr">
        <is>
          <t>Ironclad $150M ARR + Icertis 33 Fortune 100 clients</t>
        </is>
      </c>
      <c r="K20" s="6" t="inlineStr">
        <is>
          <t>12–18 wks</t>
        </is>
      </c>
      <c r="L20" s="22" t="inlineStr">
        <is>
          <t>D</t>
        </is>
      </c>
      <c r="M20" s="14" t="n">
        <v>20000</v>
      </c>
      <c r="N20" s="14" t="n">
        <v>40000</v>
      </c>
      <c r="O20" s="10" t="n">
        <v>-18057</v>
      </c>
      <c r="P20" s="10" t="n">
        <v>-74171</v>
      </c>
      <c r="Q20" s="15" t="n">
        <v>0.4</v>
      </c>
      <c r="R20" s="16" t="inlineStr"/>
    </row>
    <row r="21" ht="80" customHeight="1">
      <c r="A21" s="4" t="n">
        <v>16</v>
      </c>
      <c r="B21" s="17" t="inlineStr">
        <is>
          <t>Supplier Financial Risk Monitoring</t>
        </is>
      </c>
      <c r="C21" s="18" t="inlineStr">
        <is>
          <t>Risk Mgmt</t>
        </is>
      </c>
      <c r="D21" s="25" t="inlineStr">
        <is>
          <t>Type C</t>
        </is>
      </c>
      <c r="E21" s="20" t="inlineStr">
        <is>
          <t>Formula: Probability of major supplier failure per year × Average cost of unplanned supplier switch
Probability: 1 major supplier failure event per 2 years = 0.5 per year (conservative for 200-supplier base).
Impact: €2M average cost (emergency sourcing premium + project schedule impact).
Expected value: 0.5 × €2M = €1M per year.</t>
        </is>
      </c>
      <c r="F21" s="9" t="n">
        <v>500000</v>
      </c>
      <c r="G21" s="10" t="n">
        <v>1000000</v>
      </c>
      <c r="H21" s="11" t="n">
        <v>2000000</v>
      </c>
      <c r="I21" s="23" t="inlineStr">
        <is>
          <t>Medium</t>
        </is>
      </c>
      <c r="J21" s="20" t="inlineStr">
        <is>
          <t>Shell/TotalEnergies live; €2M avg cost documented</t>
        </is>
      </c>
      <c r="K21" s="18" t="inlineStr">
        <is>
          <t>8–12 wks</t>
        </is>
      </c>
      <c r="L21" s="22" t="inlineStr">
        <is>
          <t>D</t>
        </is>
      </c>
      <c r="M21" s="14" t="n">
        <v>10000</v>
      </c>
      <c r="N21" s="14" t="n">
        <v>20000</v>
      </c>
      <c r="O21" s="10" t="n">
        <v>980000</v>
      </c>
      <c r="P21" s="10" t="n">
        <v>2930000</v>
      </c>
      <c r="Q21" s="15" t="n">
        <v>33.3</v>
      </c>
      <c r="R21" s="21" t="inlineStr"/>
    </row>
    <row r="22" ht="80" customHeight="1">
      <c r="A22" s="4" t="n">
        <v>17</v>
      </c>
      <c r="B22" s="5" t="inlineStr">
        <is>
          <t>SAP Joule — Native AI Activation</t>
        </is>
      </c>
      <c r="C22" s="6" t="inlineStr">
        <is>
          <t>Platform AI</t>
        </is>
      </c>
      <c r="D22" s="19" t="inlineStr">
        <is>
          <t>Type A</t>
        </is>
      </c>
      <c r="E22" s="8" t="inlineStr">
        <is>
          <t>Formula: FTE hourly rate × 1,000 hours saved per year from Joule agents
Joule agents live Q4 2025: bid analysis, SOW automation, NL demand routing, mass PO date updates.
Estimated 1,000 hours saved across the team per year from native Joule features.
COST: €0 additional — included in existing SAP licence. Activate now.</t>
        </is>
      </c>
      <c r="F22" s="9" t="n">
        <v>6857</v>
      </c>
      <c r="G22" s="10" t="n">
        <v>13714</v>
      </c>
      <c r="H22" s="11" t="n">
        <v>20571</v>
      </c>
      <c r="I22" s="12" t="inlineStr">
        <is>
          <t>High</t>
        </is>
      </c>
      <c r="J22" s="8" t="inlineStr">
        <is>
          <t>SAP Joule native, GA Q4 2025, €0 additional cost</t>
        </is>
      </c>
      <c r="K22" s="6" t="inlineStr">
        <is>
          <t>1–2 wks</t>
        </is>
      </c>
      <c r="L22" s="13" t="inlineStr">
        <is>
          <t>A</t>
        </is>
      </c>
      <c r="M22" s="14" t="n">
        <v>0</v>
      </c>
      <c r="N22" s="14" t="n">
        <v>0</v>
      </c>
      <c r="O22" s="10" t="n">
        <v>13714</v>
      </c>
      <c r="P22" s="10" t="n">
        <v>41142</v>
      </c>
      <c r="Q22" s="12" t="inlineStr">
        <is>
          <t>∞ (native)</t>
        </is>
      </c>
      <c r="R22" s="16" t="inlineStr"/>
    </row>
    <row r="23" ht="80" customHeight="1">
      <c r="A23" s="4" t="n">
        <v>18</v>
      </c>
      <c r="B23" s="17" t="inlineStr">
        <is>
          <t>Jaggaer JAI — Native AI Activation</t>
        </is>
      </c>
      <c r="C23" s="18" t="inlineStr">
        <is>
          <t>Platform AI</t>
        </is>
      </c>
      <c r="D23" s="19" t="inlineStr">
        <is>
          <t>Type A</t>
        </is>
      </c>
      <c r="E23" s="20" t="inlineStr">
        <is>
          <t>Formula: FTE hourly rate × 800 hours saved per year from JAI copilot
JAI copilot live 2025: anomaly detection, conversational CLM, contextual support.
Estimated 800 hours saved per year from JAI native features.
COST: €0 additional — included in existing Jaggaer licence. Activate now.</t>
        </is>
      </c>
      <c r="F23" s="9" t="n">
        <v>4114</v>
      </c>
      <c r="G23" s="10" t="n">
        <v>8229</v>
      </c>
      <c r="H23" s="11" t="n">
        <v>12343</v>
      </c>
      <c r="I23" s="12" t="inlineStr">
        <is>
          <t>High</t>
        </is>
      </c>
      <c r="J23" s="20" t="inlineStr">
        <is>
          <t>Jaggaer JAI live, €0 additional cost</t>
        </is>
      </c>
      <c r="K23" s="18" t="inlineStr">
        <is>
          <t>1–2 wks</t>
        </is>
      </c>
      <c r="L23" s="13" t="inlineStr">
        <is>
          <t>A</t>
        </is>
      </c>
      <c r="M23" s="14" t="n">
        <v>0</v>
      </c>
      <c r="N23" s="14" t="n">
        <v>0</v>
      </c>
      <c r="O23" s="10" t="n">
        <v>8229</v>
      </c>
      <c r="P23" s="10" t="n">
        <v>24687</v>
      </c>
      <c r="Q23" s="12" t="inlineStr">
        <is>
          <t>∞ (native)</t>
        </is>
      </c>
      <c r="R23" s="21" t="inlineStr"/>
    </row>
    <row r="24" ht="80" customHeight="1">
      <c r="A24" s="4" t="n">
        <v>19</v>
      </c>
      <c r="B24" s="5" t="inlineStr">
        <is>
          <t>Autonomous Low-Value Tender Management</t>
        </is>
      </c>
      <c r="C24" s="6" t="inlineStr">
        <is>
          <t>P2P</t>
        </is>
      </c>
      <c r="D24" s="7" t="inlineStr">
        <is>
          <t>Type B</t>
        </is>
      </c>
      <c r="E24" s="8" t="inlineStr">
        <is>
          <t>Formula: Number of low-value tenders × Average tender value × 8% competitive savings rate
Low-value tenders: 40% of 250 events = 100 tenders under €50K.
Average value: €50,000 per tender.
8% savings from competitive AI-assisted tendering vs. direct award.
Peer: Zip (50+ agents, $355B processed), Pactum (manages &lt;$150K autonomously).</t>
        </is>
      </c>
      <c r="F24" s="9" t="n">
        <v>200000</v>
      </c>
      <c r="G24" s="10" t="n">
        <v>400000</v>
      </c>
      <c r="H24" s="11" t="n">
        <v>600000</v>
      </c>
      <c r="I24" s="23" t="inlineStr">
        <is>
          <t>Medium</t>
        </is>
      </c>
      <c r="J24" s="8" t="inlineStr">
        <is>
          <t>Zip $6B savings + Pactum autonomous negotiation</t>
        </is>
      </c>
      <c r="K24" s="6" t="inlineStr">
        <is>
          <t>10–16 wks</t>
        </is>
      </c>
      <c r="L24" s="22" t="inlineStr">
        <is>
          <t>D</t>
        </is>
      </c>
      <c r="M24" s="14" t="n">
        <v>15000</v>
      </c>
      <c r="N24" s="14" t="n">
        <v>30000</v>
      </c>
      <c r="O24" s="10" t="n">
        <v>370000</v>
      </c>
      <c r="P24" s="10" t="n">
        <v>1095000</v>
      </c>
      <c r="Q24" s="15" t="n">
        <v>8.9</v>
      </c>
      <c r="R24" s="16" t="inlineStr"/>
    </row>
    <row r="25" ht="80" customHeight="1">
      <c r="A25" s="4" t="n">
        <v>20</v>
      </c>
      <c r="B25" s="17" t="inlineStr">
        <is>
          <t>Supply Chain Network Risk Mapping</t>
        </is>
      </c>
      <c r="C25" s="18" t="inlineStr">
        <is>
          <t>Risk/Strategy</t>
        </is>
      </c>
      <c r="D25" s="25" t="inlineStr">
        <is>
          <t>Type C</t>
        </is>
      </c>
      <c r="E25" s="20" t="inlineStr">
        <is>
          <t>Formula: Probability of major supply disruption × Cost impact avoided
Probability: 15% per year of a significant supply chain disruption (single-source dependency, geographic risk).
Impact: €5M average cost (project delay, emergency logistics, premium pricing).
Expected value: 15% × €5M = €750K per year.
Peer: GEP: 15% lower logistics, 35% leaner inventory; Resilinc sub-tier mapping live.</t>
        </is>
      </c>
      <c r="F25" s="9" t="n">
        <v>300000</v>
      </c>
      <c r="G25" s="10" t="n">
        <v>750000</v>
      </c>
      <c r="H25" s="11" t="n">
        <v>1500000</v>
      </c>
      <c r="I25" s="26" t="inlineStr">
        <is>
          <t>Low</t>
        </is>
      </c>
      <c r="J25" s="20" t="inlineStr">
        <is>
          <t>GEP/Resilinc benchmarks + supply disruption literature</t>
        </is>
      </c>
      <c r="K25" s="18" t="inlineStr">
        <is>
          <t>16–24 wks</t>
        </is>
      </c>
      <c r="L25" s="22" t="inlineStr">
        <is>
          <t>D</t>
        </is>
      </c>
      <c r="M25" s="14" t="n">
        <v>25000</v>
      </c>
      <c r="N25" s="14" t="n">
        <v>50000</v>
      </c>
      <c r="O25" s="10" t="n">
        <v>700000</v>
      </c>
      <c r="P25" s="10" t="n">
        <v>2075000</v>
      </c>
      <c r="Q25" s="15" t="n">
        <v>10</v>
      </c>
      <c r="R25" s="21" t="inlineStr"/>
    </row>
    <row r="26" ht="28" customHeight="1">
      <c r="A26" s="27" t="inlineStr">
        <is>
          <t>PROGRAMME TOTAL — ALL 20 USE CASES FULLY DEPLOYED (Base estimates, €1.9B spend)</t>
        </is>
      </c>
      <c r="F26" s="28" t="n">
        <v>54929425</v>
      </c>
      <c r="G26" s="28" t="n">
        <v>110648852</v>
      </c>
      <c r="H26" s="28" t="n">
        <v>181938277</v>
      </c>
      <c r="M26" s="28" t="n">
        <v>240000</v>
      </c>
      <c r="N26" s="28" t="n">
        <v>491000</v>
      </c>
      <c r="O26" s="28" t="n">
        <v>110157852</v>
      </c>
      <c r="P26" s="28" t="n">
        <v>330233556</v>
      </c>
      <c r="Q26" s="29" t="n">
        <v>151.4</v>
      </c>
    </row>
    <row r="27">
      <c r="G27" s="24">
        <f> 111M base = 5.8% of €1.9B spend</f>
        <v/>
      </c>
      <c r="H27" s="30" t="n"/>
    </row>
  </sheetData>
  <mergeCells count="4">
    <mergeCell ref="G27:H27"/>
    <mergeCell ref="A3:R3"/>
    <mergeCell ref="A26:E26"/>
    <mergeCell ref="A1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  <col width="30" customWidth="1" min="8" max="8"/>
  </cols>
  <sheetData>
    <row r="1" ht="28" customHeight="1">
      <c r="A1" s="1" t="inlineStr">
        <is>
          <t>PHASED VALUE ROLLOUT — When Does the Money Land?</t>
        </is>
      </c>
    </row>
    <row r="2"/>
    <row r="4">
      <c r="A4" s="31" t="inlineStr">
        <is>
          <t>Phase</t>
        </is>
      </c>
      <c r="B4" s="31" t="inlineStr">
        <is>
          <t>Use Cases Included</t>
        </is>
      </c>
      <c r="C4" s="31" t="inlineStr">
        <is>
          <t>Timeline</t>
        </is>
      </c>
      <c r="D4" s="31" t="inlineStr">
        <is>
          <t>Bear EUR</t>
        </is>
      </c>
      <c r="E4" s="31" t="inlineStr">
        <is>
          <t>Base EUR</t>
        </is>
      </c>
      <c r="F4" s="31" t="inlineStr">
        <is>
          <t>Bull EUR</t>
        </is>
      </c>
      <c r="G4" s="31" t="inlineStr">
        <is>
          <t>Cumulative Base</t>
        </is>
      </c>
      <c r="H4" s="31" t="inlineStr">
        <is>
          <t>Note</t>
        </is>
      </c>
    </row>
    <row r="5" ht="30" customHeight="1">
      <c r="A5" s="16" t="inlineStr">
        <is>
          <t>Phase 0: Quick Wins</t>
        </is>
      </c>
      <c r="B5" s="32" t="inlineStr">
        <is>
          <t>#17 SAP Joule + #18 Jaggaer JAI</t>
        </is>
      </c>
      <c r="C5" s="6" t="inlineStr">
        <is>
          <t>Weeks 1–2</t>
        </is>
      </c>
      <c r="D5" s="33" t="n">
        <v>10971</v>
      </c>
      <c r="E5" s="33" t="n">
        <v>21943</v>
      </c>
      <c r="F5" s="33" t="n">
        <v>32914</v>
      </c>
      <c r="G5" s="34" t="n">
        <v>21943</v>
      </c>
      <c r="H5" s="35" t="inlineStr">
        <is>
          <t>Quick start — €0 additional cost</t>
        </is>
      </c>
    </row>
    <row r="6" ht="30" customHeight="1">
      <c r="A6" s="21" t="inlineStr">
        <is>
          <t>Phase 1: Three Pilots</t>
        </is>
      </c>
      <c r="B6" s="36" t="inlineStr">
        <is>
          <t>#1 Spend Classification + #2 Contract NLP + #3 Supplier Monitor</t>
        </is>
      </c>
      <c r="C6" s="18" t="inlineStr">
        <is>
          <t>Weeks 3–12</t>
        </is>
      </c>
      <c r="D6" s="37" t="n">
        <v>11109157</v>
      </c>
      <c r="E6" s="37" t="n">
        <v>22218314</v>
      </c>
      <c r="F6" s="37" t="n">
        <v>33327471</v>
      </c>
      <c r="G6" s="34" t="n">
        <v>22240257</v>
      </c>
      <c r="H6" s="38" t="inlineStr">
        <is>
          <t>90-day review gate</t>
        </is>
      </c>
    </row>
    <row r="7" ht="30" customHeight="1">
      <c r="A7" s="16" t="inlineStr">
        <is>
          <t>Phase 2: Expand</t>
        </is>
      </c>
      <c r="B7" s="32" t="inlineStr">
        <is>
          <t>#4 RFQ Drafter + #5 Demand Forecast + #6 Negotiation + #9 Invoice + #10 Market Intel + #11 Should-Cost + #13 Tail Spend</t>
        </is>
      </c>
      <c r="C7" s="6" t="inlineStr">
        <is>
          <t>Months 4–6</t>
        </is>
      </c>
      <c r="D7" s="33" t="n">
        <v>36560143</v>
      </c>
      <c r="E7" s="33" t="n">
        <v>73120286</v>
      </c>
      <c r="F7" s="33" t="n">
        <v>118420429</v>
      </c>
      <c r="G7" s="34" t="n">
        <v>95360543</v>
      </c>
      <c r="H7" s="35" t="inlineStr">
        <is>
          <t>Annual value at phase end: €73M</t>
        </is>
      </c>
    </row>
    <row r="8" ht="30" customHeight="1">
      <c r="A8" s="21" t="inlineStr">
        <is>
          <t>Phase 3: Full Agentic</t>
        </is>
      </c>
      <c r="B8" s="36" t="inlineStr">
        <is>
          <t>#7 Category Strategy + #8 CSRD + #12 Onboarding + #14 Decision Intel + #15 EPC Review + #16 Risk + #19 Auto Tender + #20 Network</t>
        </is>
      </c>
      <c r="C8" s="18" t="inlineStr">
        <is>
          <t>Months 7–12</t>
        </is>
      </c>
      <c r="D8" s="37" t="n">
        <v>7249154</v>
      </c>
      <c r="E8" s="37" t="n">
        <v>15288309</v>
      </c>
      <c r="F8" s="37" t="n">
        <v>30157463</v>
      </c>
      <c r="G8" s="34" t="n">
        <v>110648852</v>
      </c>
      <c r="H8" s="38" t="inlineStr">
        <is>
          <t>Annual value at phase end: €15M</t>
        </is>
      </c>
    </row>
    <row r="9" ht="30" customHeight="1">
      <c r="A9" s="39" t="inlineStr">
        <is>
          <t>FULL PROGRAMME</t>
        </is>
      </c>
      <c r="B9" s="40" t="inlineStr">
        <is>
          <t>All 20 use cases</t>
        </is>
      </c>
      <c r="C9" s="41" t="inlineStr">
        <is>
          <t>Year 1+</t>
        </is>
      </c>
      <c r="D9" s="28" t="n">
        <v>54929425</v>
      </c>
      <c r="E9" s="28" t="n">
        <v>110648852</v>
      </c>
      <c r="F9" s="28" t="n">
        <v>181938277</v>
      </c>
      <c r="G9" s="28" t="n">
        <v>110648852</v>
      </c>
      <c r="H9" s="42" t="inlineStr">
        <is>
          <t>Total: €111M/yr = 5.8% of spend</t>
        </is>
      </c>
    </row>
  </sheetData>
  <mergeCells count="1">
    <mergeCell ref="A1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8" customHeight="1">
      <c r="A1" s="1" t="inlineStr">
        <is>
          <t>CALCULATION METHODOLOGY — Standard Framework for All Use Cases</t>
        </is>
      </c>
    </row>
    <row r="2"/>
    <row r="3">
      <c r="A3" s="43" t="inlineStr">
        <is>
          <t>Key inputs: Annual spend = €1.9B  |  FTEs = 45  |  FTE cost = €120,000/yr  |  FTE hourly rate = €120,000 ÷ 1,750 hrs = €68.57/hr  |  Bear = 50% of base  |  Bull = 150% of base (stated explicitly if different)</t>
        </is>
      </c>
    </row>
    <row r="5" ht="22" customHeight="1">
      <c r="A5" s="44" t="inlineStr">
        <is>
          <t>TYPE A — Time Savings</t>
        </is>
      </c>
    </row>
    <row r="6" ht="20" customHeight="1">
      <c r="A6" s="45" t="inlineStr">
        <is>
          <t>Formula: (Hours saved per unit) × (Volume per year) × (FTE hourly rate)</t>
        </is>
      </c>
    </row>
    <row r="7" ht="30" customHeight="1">
      <c r="A7" s="5" t="inlineStr">
        <is>
          <t>Hours saved per unit</t>
        </is>
      </c>
      <c r="B7" s="36" t="inlineStr">
        <is>
          <t>Baseline hours − AI-assisted hours (source cited)</t>
        </is>
      </c>
    </row>
    <row r="8" ht="30" customHeight="1">
      <c r="A8" s="5" t="inlineStr">
        <is>
          <t>Volume per year</t>
        </is>
      </c>
      <c r="B8" s="36" t="inlineStr">
        <is>
          <t>Actual Statkraft volume (contracts, events, invoices)</t>
        </is>
      </c>
    </row>
    <row r="9" ht="30" customHeight="1">
      <c r="A9" s="5" t="inlineStr">
        <is>
          <t>FTE hourly rate</t>
        </is>
      </c>
      <c r="B9" s="36" t="inlineStr">
        <is>
          <t>€120,000 annual cost ÷ 1,750 working hours = €68.57/hr</t>
        </is>
      </c>
    </row>
    <row r="10" ht="30" customHeight="1">
      <c r="A10" s="5" t="inlineStr">
        <is>
          <t>Assumption</t>
        </is>
      </c>
      <c r="B10" s="36" t="inlineStr">
        <is>
          <t>Freed time is redeployed to higher-value work — no headcount reduction assumed</t>
        </is>
      </c>
    </row>
    <row r="11" ht="30" customHeight="1">
      <c r="A11" s="5" t="inlineStr">
        <is>
          <t>Examples</t>
        </is>
      </c>
      <c r="B11" s="46" t="inlineStr">
        <is>
          <t>Contract NLP: 4 hrs → 0.8 hrs × 1,200 contracts × €68.57
CSRD: 0.8 hrs × 200 suppliers × 12 checks × €68.57</t>
        </is>
      </c>
    </row>
    <row r="14" ht="22" customHeight="1">
      <c r="A14" s="47" t="inlineStr">
        <is>
          <t>TYPE B — Spend Savings</t>
        </is>
      </c>
    </row>
    <row r="15" ht="20" customHeight="1">
      <c r="A15" s="45" t="inlineStr">
        <is>
          <t>Formula: (Addressable spend) × (Savings rate %)</t>
        </is>
      </c>
    </row>
    <row r="16" ht="30" customHeight="1">
      <c r="A16" s="5" t="inlineStr">
        <is>
          <t>Addressable spend</t>
        </is>
      </c>
      <c r="B16" s="36" t="inlineStr">
        <is>
          <t>€1.9B × Category relevance % (e.g. tail spend = 8% = €152M)</t>
        </is>
      </c>
    </row>
    <row r="17" ht="30" customHeight="1">
      <c r="A17" s="5" t="inlineStr">
        <is>
          <t>Savings rate</t>
        </is>
      </c>
      <c r="B17" s="36" t="inlineStr">
        <is>
          <t>Conservative benchmark from peer implementations — always cited</t>
        </is>
      </c>
    </row>
    <row r="18" ht="30" customHeight="1">
      <c r="A18" s="5" t="inlineStr">
        <is>
          <t>Benchmark principle</t>
        </is>
      </c>
      <c r="B18" s="36" t="inlineStr">
        <is>
          <t>Use the LOWEST credible benchmark, not the vendor headline</t>
        </is>
      </c>
    </row>
    <row r="19" ht="30" customHeight="1">
      <c r="A19" s="5" t="inlineStr">
        <is>
          <t>Example</t>
        </is>
      </c>
      <c r="B19" s="46" t="inlineStr">
        <is>
          <t>Tail spend: McKinsey/Fairmarkit benchmark = 15–20% savings. Using 15%.</t>
        </is>
      </c>
    </row>
    <row r="20" ht="30" customHeight="1">
      <c r="A20" s="5" t="inlineStr">
        <is>
          <t>Examples</t>
        </is>
      </c>
      <c r="B20" s="46" t="inlineStr">
        <is>
          <t>Tail Spend: €152M × 15% = €22.8M
Negotiation: €1.9B × 0.3% = €5.7M (vs Arkestro 18.8% — very conservative)</t>
        </is>
      </c>
    </row>
    <row r="23" ht="22" customHeight="1">
      <c r="A23" s="48" t="inlineStr">
        <is>
          <t>TYPE C — Risk Reduction</t>
        </is>
      </c>
    </row>
    <row r="24" ht="20" customHeight="1">
      <c r="A24" s="45" t="inlineStr">
        <is>
          <t>Formula: (Probability of event per year) × (Cost of event)</t>
        </is>
      </c>
    </row>
    <row r="25" ht="30" customHeight="1">
      <c r="A25" s="5" t="inlineStr">
        <is>
          <t>Probability</t>
        </is>
      </c>
      <c r="B25" s="36" t="inlineStr">
        <is>
          <t>Conservative assessment of adverse event frequency — documented</t>
        </is>
      </c>
    </row>
    <row r="26" ht="30" customHeight="1">
      <c r="A26" s="5" t="inlineStr">
        <is>
          <t>Event cost</t>
        </is>
      </c>
      <c r="B26" s="36" t="inlineStr">
        <is>
          <t>Quantified cost of event occurring (emergency sourcing, delays, penalties)</t>
        </is>
      </c>
    </row>
    <row r="27" ht="30" customHeight="1">
      <c r="A27" s="5" t="inlineStr">
        <is>
          <t>Expected value</t>
        </is>
      </c>
      <c r="B27" s="36" t="inlineStr">
        <is>
          <t>P × Impact = annual expected value of avoided cost</t>
        </is>
      </c>
    </row>
    <row r="28" ht="30" customHeight="1">
      <c r="A28" s="5" t="inlineStr">
        <is>
          <t>Principle</t>
        </is>
      </c>
      <c r="B28" s="36" t="inlineStr">
        <is>
          <t>Only include risks with documented precedent — no speculative events</t>
        </is>
      </c>
    </row>
    <row r="29" ht="30" customHeight="1">
      <c r="A29" s="5" t="inlineStr">
        <is>
          <t>Examples</t>
        </is>
      </c>
      <c r="B29" s="46" t="inlineStr">
        <is>
          <t>Supplier failure: 0.5 events/yr × €2M avg cost = €1M
Cost overrun: €400M capex × 40% overrun × 2% improvement = €3.2M</t>
        </is>
      </c>
    </row>
    <row r="32" ht="22" customHeight="1">
      <c r="A32" s="49" t="inlineStr">
        <is>
          <t>TYPE D — Capacity Release</t>
        </is>
      </c>
    </row>
    <row r="33" ht="20" customHeight="1">
      <c r="A33" s="45" t="inlineStr">
        <is>
          <t>Formula: (FTE hours automated) × (% redirectable) × (FTE hourly rate)</t>
        </is>
      </c>
    </row>
    <row r="34" ht="30" customHeight="1">
      <c r="A34" s="5" t="inlineStr">
        <is>
          <t>FTE hours automated</t>
        </is>
      </c>
      <c r="B34" s="36" t="inlineStr">
        <is>
          <t>Total hours of routine tasks eliminated by AI per year</t>
        </is>
      </c>
    </row>
    <row r="35" ht="30" customHeight="1">
      <c r="A35" s="5" t="inlineStr">
        <is>
          <t>% redirectable</t>
        </is>
      </c>
      <c r="B35" s="36" t="inlineStr">
        <is>
          <t>Conservative % of freed time that can be redirected to strategic work</t>
        </is>
      </c>
    </row>
    <row r="36" ht="30" customHeight="1">
      <c r="A36" s="5" t="inlineStr">
        <is>
          <t>Principle</t>
        </is>
      </c>
      <c r="B36" s="36" t="inlineStr">
        <is>
          <t>Assumes redeployment — not headcount reduction. Conservative multiplier.</t>
        </is>
      </c>
    </row>
    <row r="37" ht="30" customHeight="1">
      <c r="A37" s="5" t="inlineStr">
        <is>
          <t>When to use</t>
        </is>
      </c>
      <c r="B37" s="36" t="inlineStr">
        <is>
          <t>When the primary value is freeing up procurement expertise, not direct spend savings</t>
        </is>
      </c>
    </row>
    <row r="38" ht="30" customHeight="1">
      <c r="A38" s="5" t="inlineStr">
        <is>
          <t>Examples</t>
        </is>
      </c>
      <c r="B38" s="46" t="inlineStr">
        <is>
          <t>RFQ Drafter: 30 hrs saved × 250 events × €68.57 = €514K
Market Intel: analyst time freed for strategic category work</t>
        </is>
      </c>
    </row>
  </sheetData>
  <mergeCells count="30">
    <mergeCell ref="B7:F7"/>
    <mergeCell ref="B16:F16"/>
    <mergeCell ref="B25:F25"/>
    <mergeCell ref="A3:F3"/>
    <mergeCell ref="B18:F18"/>
    <mergeCell ref="B27:F27"/>
    <mergeCell ref="A33:F33"/>
    <mergeCell ref="A14:F14"/>
    <mergeCell ref="A5:F5"/>
    <mergeCell ref="B11:F11"/>
    <mergeCell ref="A1:F2"/>
    <mergeCell ref="A23:F23"/>
    <mergeCell ref="A32:F32"/>
    <mergeCell ref="B8:F8"/>
    <mergeCell ref="B17:F17"/>
    <mergeCell ref="B29:F29"/>
    <mergeCell ref="B38:F38"/>
    <mergeCell ref="B34:F34"/>
    <mergeCell ref="B10:F10"/>
    <mergeCell ref="B28:F28"/>
    <mergeCell ref="B19:F19"/>
    <mergeCell ref="B37:F37"/>
    <mergeCell ref="A15:F15"/>
    <mergeCell ref="B9:F9"/>
    <mergeCell ref="A24:F24"/>
    <mergeCell ref="B20:F20"/>
    <mergeCell ref="A6:F6"/>
    <mergeCell ref="B36:F36"/>
    <mergeCell ref="B26:F26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28" customWidth="1" min="5" max="5"/>
  </cols>
  <sheetData>
    <row r="1" ht="28" customHeight="1">
      <c r="A1" s="1" t="inlineStr">
        <is>
          <t>NUMBERS TO USE IN PRESENTATION — Updated from €1.9B Spend</t>
        </is>
      </c>
    </row>
    <row r="2"/>
    <row r="4">
      <c r="A4" s="31" t="inlineStr">
        <is>
          <t>Metric</t>
        </is>
      </c>
      <c r="B4" s="31" t="inlineStr">
        <is>
          <t>Bear EUR</t>
        </is>
      </c>
      <c r="C4" s="31" t="inlineStr">
        <is>
          <t>Base EUR</t>
        </is>
      </c>
      <c r="D4" s="31" t="inlineStr">
        <is>
          <t>Bull EUR</t>
        </is>
      </c>
      <c r="E4" s="31" t="inlineStr">
        <is>
          <t>Slide / Use</t>
        </is>
      </c>
    </row>
    <row r="5" ht="22" customHeight="1">
      <c r="A5" s="16" t="inlineStr">
        <is>
          <t>Phase 0 Quick Wins (SAP Joule + Jaggaer JAI)</t>
        </is>
      </c>
      <c r="B5" s="33" t="n">
        <v>10971</v>
      </c>
      <c r="C5" s="33" t="n">
        <v>21943</v>
      </c>
      <c r="D5" s="33" t="n">
        <v>32914</v>
      </c>
      <c r="E5" s="35" t="inlineStr">
        <is>
          <t>Slide: Roadmap — Phase 0</t>
        </is>
      </c>
    </row>
    <row r="6" ht="22" customHeight="1">
      <c r="A6" s="21" t="inlineStr">
        <is>
          <t>Phase 1 Pilots (Spend, Contract, Supplier)</t>
        </is>
      </c>
      <c r="B6" s="37" t="n">
        <v>11109157</v>
      </c>
      <c r="C6" s="37" t="n">
        <v>22218314</v>
      </c>
      <c r="D6" s="37" t="n">
        <v>33327471</v>
      </c>
      <c r="E6" s="38" t="inlineStr">
        <is>
          <t>Slide: Roadmap — Phase 1</t>
        </is>
      </c>
    </row>
    <row r="7" ht="22" customHeight="1">
      <c r="A7" s="16" t="inlineStr">
        <is>
          <t>Phase 2 Expanded (7 use cases)</t>
        </is>
      </c>
      <c r="B7" s="33" t="n">
        <v>36560143</v>
      </c>
      <c r="C7" s="33" t="n">
        <v>73120286</v>
      </c>
      <c r="D7" s="33" t="n">
        <v>118420429</v>
      </c>
      <c r="E7" s="35" t="inlineStr">
        <is>
          <t>Slide: Roadmap — Phase 2</t>
        </is>
      </c>
    </row>
    <row r="8" ht="22" customHeight="1">
      <c r="A8" s="21" t="inlineStr">
        <is>
          <t>Phase 3 Full Agentic (8 use cases)</t>
        </is>
      </c>
      <c r="B8" s="37" t="n">
        <v>7249154</v>
      </c>
      <c r="C8" s="37" t="n">
        <v>15288309</v>
      </c>
      <c r="D8" s="37" t="n">
        <v>30157463</v>
      </c>
      <c r="E8" s="38" t="inlineStr">
        <is>
          <t>Slide: Roadmap — Phase 3</t>
        </is>
      </c>
    </row>
    <row r="9" ht="22" customHeight="1">
      <c r="A9" s="39" t="inlineStr">
        <is>
          <t>TOTAL ANNUAL VALUE (all 20 use cases)</t>
        </is>
      </c>
      <c r="B9" s="28" t="n">
        <v>54929425</v>
      </c>
      <c r="C9" s="28" t="n">
        <v>110648852</v>
      </c>
      <c r="D9" s="28" t="n">
        <v>181938277</v>
      </c>
      <c r="E9" s="42" t="inlineStr">
        <is>
          <t>Slide 10: TCO — Annual Value box</t>
        </is>
      </c>
    </row>
    <row r="10" ht="22" customHeight="1">
      <c r="A10" s="21" t="inlineStr">
        <is>
          <t>Total as % of €1.9B spend</t>
        </is>
      </c>
      <c r="B10" s="50" t="inlineStr">
        <is>
          <t>—</t>
        </is>
      </c>
      <c r="C10" s="50" t="inlineStr">
        <is>
          <t>5.8%</t>
        </is>
      </c>
      <c r="D10" s="50" t="inlineStr">
        <is>
          <t>—</t>
        </is>
      </c>
      <c r="E10" s="38" t="inlineStr">
        <is>
          <t>Sanity check — 5.7% is credible</t>
        </is>
      </c>
    </row>
    <row r="11" ht="22" customHeight="1">
      <c r="A11" s="16" t="inlineStr">
        <is>
          <t>3-Year NPV (net of programme costs)</t>
        </is>
      </c>
      <c r="B11" s="33" t="n">
        <v>165116778</v>
      </c>
      <c r="C11" s="33" t="n">
        <v>330233556</v>
      </c>
      <c r="D11" s="33" t="n">
        <v>495350334</v>
      </c>
      <c r="E11" s="35" t="inlineStr">
        <is>
          <t>Slide 10: TCO — 3yr NPV</t>
        </is>
      </c>
    </row>
    <row r="12" ht="22" customHeight="1">
      <c r="A12" s="39" t="inlineStr">
        <is>
          <t>Programme ROI</t>
        </is>
      </c>
      <c r="B12" s="51" t="n">
        <v>75.68320930232558</v>
      </c>
      <c r="C12" s="28" t="n">
        <v>151.3664186046512</v>
      </c>
      <c r="D12" s="28" t="n">
        <v>227.0496279069768</v>
      </c>
      <c r="E12" s="42" t="inlineStr">
        <is>
          <t>Slide 10: TCO — ROI box</t>
        </is>
      </c>
    </row>
    <row r="13" ht="22" customHeight="1">
      <c r="A13" s="16" t="inlineStr">
        <is>
          <t>Annual Programme Cost (opex)</t>
        </is>
      </c>
      <c r="B13" s="33" t="n">
        <v>491000</v>
      </c>
      <c r="C13" s="33" t="n">
        <v>491000</v>
      </c>
      <c r="D13" s="33" t="n">
        <v>491000</v>
      </c>
      <c r="E13" s="35" t="inlineStr">
        <is>
          <t>Slide 10: OPEX</t>
        </is>
      </c>
    </row>
    <row r="14" ht="22" customHeight="1">
      <c r="A14" s="21" t="inlineStr">
        <is>
          <t>Hardware CAPEX (Year 1)</t>
        </is>
      </c>
      <c r="B14" s="37" t="n">
        <v>240000</v>
      </c>
      <c r="C14" s="37" t="n">
        <v>240000</v>
      </c>
      <c r="D14" s="37" t="n">
        <v>240000</v>
      </c>
      <c r="E14" s="38" t="inlineStr">
        <is>
          <t>Slide 10: CAPEX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2026-03-18T00:23:32Z</dcterms:created>
  <dcterms:modified xmlns:dcterms="http://purl.org/dc/terms/" xmlns:xsi="http://www.w3.org/2001/XMLSchema-instance" xsi:type="dcterms:W3CDTF">2026-03-18T00:23:32Z</dcterms:modified>
</cp:coreProperties>
</file>