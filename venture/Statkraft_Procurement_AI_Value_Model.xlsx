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💰 Value Calculator" sheetId="2" state="visible" r:id="rId2"/>
    <sheet xmlns:r="http://schemas.openxmlformats.org/officeDocument/2006/relationships" name="🎯 Use Case Prioritiser" sheetId="3" state="visible" r:id="rId3"/>
    <sheet xmlns:r="http://schemas.openxmlformats.org/officeDocument/2006/relationships" name="📋 Initiative Tracker" sheetId="4" state="visible" r:id="rId4"/>
    <sheet xmlns:r="http://schemas.openxmlformats.org/officeDocument/2006/relationships" name="🖥️ Hardware &amp; C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&quot;x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2D3A4A"/>
      <sz val="10"/>
    </font>
    <font>
      <name val="Calibri"/>
      <b val="1"/>
      <color rgb="00FFFFFF"/>
      <sz val="14"/>
    </font>
    <font>
      <name val="Calibri"/>
      <b val="1"/>
      <color rgb="002D3A4A"/>
      <sz val="11"/>
    </font>
    <font>
      <name val="Calibri"/>
      <color rgb="00718096"/>
      <sz val="10"/>
    </font>
    <font>
      <name val="Calibri"/>
      <b val="1"/>
      <color rgb="002D3A4A"/>
      <sz val="10"/>
    </font>
    <font>
      <name val="Calibri"/>
      <b val="1"/>
      <color rgb="0027AE60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b val="1"/>
      <color rgb="0027AE60"/>
      <sz val="14"/>
    </font>
    <font>
      <name val="Calibri"/>
      <b val="1"/>
      <color rgb="00FFFFFF"/>
      <sz val="13"/>
    </font>
    <font>
      <name val="Calibri"/>
      <color rgb="002D3A4A"/>
      <sz val="9"/>
    </font>
    <font>
      <name val="Calibri"/>
      <b val="1"/>
      <color rgb="00D97F06"/>
      <sz val="11"/>
    </font>
    <font>
      <name val="Calibri"/>
      <b val="1"/>
      <color rgb="00FFFFFF"/>
      <sz val="9"/>
    </font>
    <font>
      <name val="Calibri"/>
      <color rgb="0027AE60"/>
      <sz val="10"/>
    </font>
    <font>
      <name val="Calibri"/>
      <color rgb="00D97F06"/>
      <sz val="10"/>
    </font>
    <font>
      <name val="Calibri"/>
      <b val="1"/>
      <color rgb="00D97F06"/>
      <sz val="10"/>
    </font>
    <font>
      <name val="Calibri"/>
      <color rgb="002D3A4A"/>
      <sz val="11"/>
    </font>
    <font>
      <name val="Calibri"/>
      <b val="1"/>
      <color rgb="0027AE60"/>
      <sz val="12"/>
    </font>
  </fonts>
  <fills count="9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2B6CB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7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center" vertical="center"/>
    </xf>
    <xf numFmtId="0" fontId="9" fillId="5" borderId="1" pivotButton="0" quotePrefix="0" xfId="0"/>
    <xf numFmtId="164" fontId="7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right" vertical="center"/>
    </xf>
    <xf numFmtId="165" fontId="13" fillId="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9" fontId="9" fillId="6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 wrapText="1"/>
    </xf>
    <xf numFmtId="2" fontId="11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164" fontId="20" fillId="8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11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4" fontId="2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8" customWidth="1" min="9" max="9"/>
    <col width="12" customWidth="1" min="10" max="10"/>
    <col width="12" customWidth="1" min="11" max="11"/>
    <col width="6" customWidth="1" min="12" max="12"/>
  </cols>
  <sheetData>
    <row r="1" ht="30" customHeight="1">
      <c r="A1" s="1" t="inlineStr">
        <is>
          <t>STATKRAFT PROCUREMENT AI — VALUE MEASUREMENT DASHBOARD</t>
        </is>
      </c>
    </row>
    <row r="2" ht="20" customHeight="1"/>
    <row r="3" ht="18" customHeight="1">
      <c r="A3" s="2" t="inlineStr">
        <is>
          <t>Last Updated: 17 March 2026  |  All values in EUR unless stated  |  Statkraft Procurement AI Programme</t>
        </is>
      </c>
    </row>
    <row r="5">
      <c r="A5" s="3" t="inlineStr">
        <is>
          <t>KPI SUMMARY</t>
        </is>
      </c>
    </row>
    <row r="6">
      <c r="A6" s="4" t="inlineStr">
        <is>
          <t>Initiative</t>
        </is>
      </c>
      <c r="B6" s="4" t="inlineStr">
        <is>
          <t>Category</t>
        </is>
      </c>
      <c r="C6" s="4" t="inlineStr">
        <is>
          <t>Status</t>
        </is>
      </c>
      <c r="D6" s="4" t="inlineStr">
        <is>
          <t>Baseline KPI</t>
        </is>
      </c>
      <c r="E6" s="4" t="inlineStr">
        <is>
          <t>Target KPI</t>
        </is>
      </c>
      <c r="F6" s="4" t="inlineStr">
        <is>
          <t>Current KPI</t>
        </is>
      </c>
      <c r="G6" s="4" t="inlineStr">
        <is>
          <t>% Achieved</t>
        </is>
      </c>
      <c r="H6" s="4" t="inlineStr">
        <is>
          <t>Est. EUR Saved</t>
        </is>
      </c>
      <c r="I6" s="4" t="inlineStr">
        <is>
          <t>ROI</t>
        </is>
      </c>
      <c r="J6" s="4" t="inlineStr">
        <is>
          <t>Go-Live Date</t>
        </is>
      </c>
      <c r="K6" s="4" t="inlineStr">
        <is>
          <t>Next Review</t>
        </is>
      </c>
      <c r="L6" s="4" t="inlineStr">
        <is>
          <t>RAG</t>
        </is>
      </c>
    </row>
    <row r="7">
      <c r="A7" s="5" t="inlineStr">
        <is>
          <t>Spend Classification</t>
        </is>
      </c>
      <c r="B7" s="5" t="inlineStr">
        <is>
          <t>Data Quality</t>
        </is>
      </c>
      <c r="C7" s="6" t="inlineStr">
        <is>
          <t>🟡 Pilot</t>
        </is>
      </c>
      <c r="D7" s="6" t="inlineStr">
        <is>
          <t>65% accuracy</t>
        </is>
      </c>
      <c r="E7" s="6" t="inlineStr">
        <is>
          <t>85% accuracy</t>
        </is>
      </c>
      <c r="F7" s="6" t="inlineStr"/>
      <c r="G7" s="6" t="inlineStr"/>
      <c r="H7" s="6">
        <f>IF(H7&lt;&gt;"",H7,"TBD")</f>
        <v/>
      </c>
      <c r="I7" s="6" t="inlineStr"/>
      <c r="J7" s="6" t="inlineStr">
        <is>
          <t>2026-04-01</t>
        </is>
      </c>
      <c r="K7" s="6" t="inlineStr">
        <is>
          <t>2026-07-01</t>
        </is>
      </c>
      <c r="L7" s="6" t="inlineStr">
        <is>
          <t>🟡</t>
        </is>
      </c>
    </row>
    <row r="8">
      <c r="A8" s="7" t="inlineStr">
        <is>
          <t>Contract NLP Scanning</t>
        </is>
      </c>
      <c r="B8" s="7" t="inlineStr">
        <is>
          <t>Contract Mgmt</t>
        </is>
      </c>
      <c r="C8" s="8" t="inlineStr">
        <is>
          <t>🟡 Pilot</t>
        </is>
      </c>
      <c r="D8" s="8" t="inlineStr">
        <is>
          <t>Manual review</t>
        </is>
      </c>
      <c r="E8" s="8" t="inlineStr">
        <is>
          <t>80% faster</t>
        </is>
      </c>
      <c r="F8" s="8" t="inlineStr"/>
      <c r="G8" s="8" t="inlineStr"/>
      <c r="H8" s="8">
        <f>IF(H8&lt;&gt;"",H8,"TBD")</f>
        <v/>
      </c>
      <c r="I8" s="8" t="inlineStr"/>
      <c r="J8" s="8" t="inlineStr">
        <is>
          <t>2026-04-15</t>
        </is>
      </c>
      <c r="K8" s="8" t="inlineStr">
        <is>
          <t>2026-07-15</t>
        </is>
      </c>
      <c r="L8" s="8" t="inlineStr">
        <is>
          <t>🟡</t>
        </is>
      </c>
    </row>
    <row r="9">
      <c r="A9" s="5" t="inlineStr">
        <is>
          <t>Supplier Monitoring</t>
        </is>
      </c>
      <c r="B9" s="5" t="inlineStr">
        <is>
          <t>Risk Mgmt</t>
        </is>
      </c>
      <c r="C9" s="6" t="inlineStr">
        <is>
          <t>🟡 Pilot</t>
        </is>
      </c>
      <c r="D9" s="6" t="inlineStr">
        <is>
          <t>Annual review</t>
        </is>
      </c>
      <c r="E9" s="6" t="inlineStr">
        <is>
          <t>Continuous</t>
        </is>
      </c>
      <c r="F9" s="6" t="inlineStr"/>
      <c r="G9" s="6" t="inlineStr"/>
      <c r="H9" s="6">
        <f>IF(H9&lt;&gt;"",H9,"TBD")</f>
        <v/>
      </c>
      <c r="I9" s="6" t="inlineStr"/>
      <c r="J9" s="6" t="inlineStr">
        <is>
          <t>2026-05-01</t>
        </is>
      </c>
      <c r="K9" s="6" t="inlineStr">
        <is>
          <t>2026-08-01</t>
        </is>
      </c>
      <c r="L9" s="6" t="inlineStr">
        <is>
          <t>🟡</t>
        </is>
      </c>
    </row>
    <row r="10">
      <c r="A10" s="7" t="inlineStr">
        <is>
          <t>RFQ Drafter</t>
        </is>
      </c>
      <c r="B10" s="7" t="inlineStr">
        <is>
          <t>Sourcing</t>
        </is>
      </c>
      <c r="C10" s="8" t="inlineStr">
        <is>
          <t>🔵 Planned</t>
        </is>
      </c>
      <c r="D10" s="8" t="inlineStr">
        <is>
          <t>8 hrs/event</t>
        </is>
      </c>
      <c r="E10" s="8" t="inlineStr">
        <is>
          <t>2 hrs/event</t>
        </is>
      </c>
      <c r="F10" s="8" t="inlineStr"/>
      <c r="G10" s="8" t="inlineStr"/>
      <c r="H10" s="8" t="inlineStr"/>
      <c r="I10" s="8" t="inlineStr"/>
      <c r="J10" s="8" t="inlineStr">
        <is>
          <t>2026-07-01</t>
        </is>
      </c>
      <c r="K10" s="8" t="inlineStr">
        <is>
          <t>2026-10-01</t>
        </is>
      </c>
      <c r="L10" s="8" t="inlineStr">
        <is>
          <t>🔵</t>
        </is>
      </c>
    </row>
    <row r="11">
      <c r="A11" s="5" t="inlineStr">
        <is>
          <t>Demand Forecasting MRO</t>
        </is>
      </c>
      <c r="B11" s="5" t="inlineStr">
        <is>
          <t>MRO</t>
        </is>
      </c>
      <c r="C11" s="6" t="inlineStr">
        <is>
          <t>🔵 Planned</t>
        </is>
      </c>
      <c r="D11" s="6" t="inlineStr">
        <is>
          <t>Reactive only</t>
        </is>
      </c>
      <c r="E11" s="6" t="inlineStr">
        <is>
          <t>6-12m forecast</t>
        </is>
      </c>
      <c r="F11" s="6" t="inlineStr"/>
      <c r="G11" s="6" t="inlineStr"/>
      <c r="H11" s="6" t="inlineStr"/>
      <c r="I11" s="6" t="inlineStr"/>
      <c r="J11" s="6" t="inlineStr">
        <is>
          <t>2026-07-15</t>
        </is>
      </c>
      <c r="K11" s="6" t="inlineStr">
        <is>
          <t>2026-10-15</t>
        </is>
      </c>
      <c r="L11" s="6" t="inlineStr">
        <is>
          <t>🔵</t>
        </is>
      </c>
    </row>
    <row r="12">
      <c r="A12" s="7" t="inlineStr">
        <is>
          <t>Negotiation Pack Builder</t>
        </is>
      </c>
      <c r="B12" s="7" t="inlineStr">
        <is>
          <t>Sourcing</t>
        </is>
      </c>
      <c r="C12" s="8" t="inlineStr">
        <is>
          <t>🔵 Planned</t>
        </is>
      </c>
      <c r="D12" s="8" t="inlineStr">
        <is>
          <t>Manual prep</t>
        </is>
      </c>
      <c r="E12" s="8" t="inlineStr">
        <is>
          <t>AI-assisted</t>
        </is>
      </c>
      <c r="F12" s="8" t="inlineStr"/>
      <c r="G12" s="8" t="inlineStr"/>
      <c r="H12" s="8" t="inlineStr"/>
      <c r="I12" s="8" t="inlineStr"/>
      <c r="J12" s="8" t="inlineStr">
        <is>
          <t>2026-08-01</t>
        </is>
      </c>
      <c r="K12" s="8" t="inlineStr">
        <is>
          <t>2026-11-01</t>
        </is>
      </c>
      <c r="L12" s="8" t="inlineStr">
        <is>
          <t>🔵</t>
        </is>
      </c>
    </row>
    <row r="13">
      <c r="A13" s="5" t="inlineStr">
        <is>
          <t>Category Strategist</t>
        </is>
      </c>
      <c r="B13" s="5" t="inlineStr">
        <is>
          <t>Strategy</t>
        </is>
      </c>
      <c r="C13" s="6" t="inlineStr">
        <is>
          <t>🔵 Planned</t>
        </is>
      </c>
      <c r="D13" s="6" t="inlineStr">
        <is>
          <t>Weeks to draft</t>
        </is>
      </c>
      <c r="E13" s="6" t="inlineStr">
        <is>
          <t>Days to draft</t>
        </is>
      </c>
      <c r="F13" s="6" t="inlineStr"/>
      <c r="G13" s="6" t="inlineStr"/>
      <c r="H13" s="6" t="inlineStr"/>
      <c r="I13" s="6" t="inlineStr"/>
      <c r="J13" s="6" t="inlineStr">
        <is>
          <t>2026-09-01</t>
        </is>
      </c>
      <c r="K13" s="6" t="inlineStr">
        <is>
          <t>2026-12-01</t>
        </is>
      </c>
      <c r="L13" s="6" t="inlineStr">
        <is>
          <t>🔵</t>
        </is>
      </c>
    </row>
    <row r="14">
      <c r="A14" s="7" t="inlineStr">
        <is>
          <t>CSRD Compliance Agent</t>
        </is>
      </c>
      <c r="B14" s="7" t="inlineStr">
        <is>
          <t>Compliance</t>
        </is>
      </c>
      <c r="C14" s="8" t="inlineStr">
        <is>
          <t>🔵 Planned</t>
        </is>
      </c>
      <c r="D14" s="8" t="inlineStr">
        <is>
          <t>Manual checks</t>
        </is>
      </c>
      <c r="E14" s="8" t="inlineStr">
        <is>
          <t>Automated</t>
        </is>
      </c>
      <c r="F14" s="8" t="inlineStr"/>
      <c r="G14" s="8" t="inlineStr"/>
      <c r="H14" s="8" t="inlineStr"/>
      <c r="I14" s="8" t="inlineStr"/>
      <c r="J14" s="8" t="inlineStr">
        <is>
          <t>2026-10-01</t>
        </is>
      </c>
      <c r="K14" s="8" t="inlineStr">
        <is>
          <t>2027-01-01</t>
        </is>
      </c>
      <c r="L14" s="8" t="inlineStr">
        <is>
          <t>🔵</t>
        </is>
      </c>
    </row>
    <row r="15">
      <c r="A15" s="9" t="inlineStr">
        <is>
          <t>PROGRAMME TOTAL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</sheetData>
  <mergeCells count="4">
    <mergeCell ref="A15:G15"/>
    <mergeCell ref="A3:L3"/>
    <mergeCell ref="A5:L5"/>
    <mergeCell ref="A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1" t="inlineStr">
        <is>
          <t>PROCUREMENT AI VALUE CALCULATOR  —  Enter yellow cells. Green cells calculate automatically.</t>
        </is>
      </c>
    </row>
    <row r="2"/>
    <row r="3" ht="22" customHeight="1">
      <c r="A3" s="12" t="inlineStr">
        <is>
          <t>Input Parameter</t>
        </is>
      </c>
      <c r="B3" s="12" t="inlineStr">
        <is>
          <t>Your Value</t>
        </is>
      </c>
      <c r="C3" s="12" t="inlineStr">
        <is>
          <t>Unit</t>
        </is>
      </c>
      <c r="D3" s="12" t="inlineStr">
        <is>
          <t>Source / Assumption</t>
        </is>
      </c>
    </row>
    <row r="4">
      <c r="A4" s="7" t="inlineStr">
        <is>
          <t>Total annual procurement spend (EUR)</t>
        </is>
      </c>
      <c r="B4" s="13" t="n">
        <v>500000000</v>
      </c>
      <c r="C4" s="6" t="inlineStr">
        <is>
          <t>EUR</t>
        </is>
      </c>
      <c r="D4" s="14" t="inlineStr">
        <is>
          <t>Statkraft internal</t>
        </is>
      </c>
    </row>
    <row r="5">
      <c r="A5" s="7" t="inlineStr">
        <is>
          <t>Number of sourcing events per year</t>
        </is>
      </c>
      <c r="B5" s="15" t="n">
        <v>250</v>
      </c>
      <c r="C5" s="6" t="inlineStr">
        <is>
          <t>events/yr</t>
        </is>
      </c>
      <c r="D5" s="14" t="inlineStr">
        <is>
          <t>Statkraft estimate</t>
        </is>
      </c>
    </row>
    <row r="6">
      <c r="A6" s="7" t="inlineStr">
        <is>
          <t>Average hours per sourcing event (RFQ to award)</t>
        </is>
      </c>
      <c r="B6" s="15" t="n">
        <v>40</v>
      </c>
      <c r="C6" s="6" t="inlineStr">
        <is>
          <t>hrs</t>
        </is>
      </c>
      <c r="D6" s="14" t="inlineStr">
        <is>
          <t>Industry avg</t>
        </is>
      </c>
    </row>
    <row r="7">
      <c r="A7" s="7" t="inlineStr">
        <is>
          <t>Number of contracts in portfolio</t>
        </is>
      </c>
      <c r="B7" s="13" t="n">
        <v>1200</v>
      </c>
      <c r="C7" s="6" t="inlineStr">
        <is>
          <t>contracts</t>
        </is>
      </c>
      <c r="D7" s="14" t="inlineStr">
        <is>
          <t>Statkraft estimate</t>
        </is>
      </c>
    </row>
    <row r="8">
      <c r="A8" s="7" t="inlineStr">
        <is>
          <t>Hours to manually review one contract</t>
        </is>
      </c>
      <c r="B8" s="15" t="n">
        <v>4</v>
      </c>
      <c r="C8" s="6" t="inlineStr">
        <is>
          <t>hrs</t>
        </is>
      </c>
      <c r="D8" s="14" t="inlineStr">
        <is>
          <t>Industry avg (Luminance benchmark)</t>
        </is>
      </c>
    </row>
    <row r="9">
      <c r="A9" s="7" t="inlineStr">
        <is>
          <t>Number of suppliers actively monitored</t>
        </is>
      </c>
      <c r="B9" s="15" t="n">
        <v>200</v>
      </c>
      <c r="C9" s="6" t="inlineStr">
        <is>
          <t>suppliers</t>
        </is>
      </c>
      <c r="D9" s="14" t="inlineStr">
        <is>
          <t>Statkraft target</t>
        </is>
      </c>
    </row>
    <row r="10">
      <c r="A10" s="7" t="inlineStr">
        <is>
          <t>Annual cost of manual supplier reviews</t>
        </is>
      </c>
      <c r="B10" s="13" t="n">
        <v>150000</v>
      </c>
      <c r="C10" s="6" t="inlineStr">
        <is>
          <t>EUR/yr</t>
        </is>
      </c>
      <c r="D10" s="14" t="inlineStr">
        <is>
          <t>Statkraft estimate</t>
        </is>
      </c>
    </row>
    <row r="11">
      <c r="A11" s="7" t="inlineStr">
        <is>
          <t>Procurement headcount (FTEs)</t>
        </is>
      </c>
      <c r="B11" s="15" t="n">
        <v>45</v>
      </c>
      <c r="C11" s="6" t="inlineStr">
        <is>
          <t>FTEs</t>
        </is>
      </c>
      <c r="D11" s="14" t="inlineStr">
        <is>
          <t>Statkraft internal</t>
        </is>
      </c>
    </row>
    <row r="12">
      <c r="A12" s="7" t="inlineStr">
        <is>
          <t>Average fully-loaded FTE cost (EUR/yr)</t>
        </is>
      </c>
      <c r="B12" s="13" t="n">
        <v>120000</v>
      </c>
      <c r="C12" s="6" t="inlineStr">
        <is>
          <t>EUR/yr</t>
        </is>
      </c>
      <c r="D12" s="14" t="inlineStr">
        <is>
          <t>Statkraft HR data</t>
        </is>
      </c>
    </row>
    <row r="13">
      <c r="A13" s="7" t="inlineStr">
        <is>
          <t>Current spend classification accuracy</t>
        </is>
      </c>
      <c r="B13" s="16" t="n">
        <v>0.65</v>
      </c>
      <c r="C13" s="6" t="inlineStr">
        <is>
          <t>%</t>
        </is>
      </c>
      <c r="D13" s="14" t="inlineStr">
        <is>
          <t>Current state</t>
        </is>
      </c>
    </row>
    <row r="16">
      <c r="A16" s="17" t="inlineStr">
        <is>
          <t xml:space="preserve">  SECTION 2: CALCULATED VALUE  (auto-calculated from inputs above)</t>
        </is>
      </c>
    </row>
    <row r="17">
      <c r="A17" s="12" t="inlineStr">
        <is>
          <t>Use Case</t>
        </is>
      </c>
      <c r="B17" s="12" t="inlineStr">
        <is>
          <t>Metric</t>
        </is>
      </c>
      <c r="C17" s="12" t="inlineStr">
        <is>
          <t>Current State</t>
        </is>
      </c>
      <c r="D17" s="12" t="inlineStr">
        <is>
          <t>With AI</t>
        </is>
      </c>
      <c r="E17" s="12" t="inlineStr">
        <is>
          <t>Annual Saving (EUR)</t>
        </is>
      </c>
      <c r="F17" s="12" t="inlineStr">
        <is>
          <t>ROI Assumption</t>
        </is>
      </c>
      <c r="G17" s="12" t="n"/>
      <c r="H17" s="12" t="n"/>
      <c r="I17" s="12" t="n"/>
      <c r="J17" s="12" t="n"/>
    </row>
    <row r="18">
      <c r="A18" s="18" t="inlineStr">
        <is>
          <t>RFQ Generation</t>
        </is>
      </c>
      <c r="B18" s="5" t="inlineStr">
        <is>
          <t>Hours saved per event</t>
        </is>
      </c>
      <c r="C18" s="19">
        <f>B7</f>
        <v/>
      </c>
      <c r="D18" s="20">
        <f>B7*0.75</f>
        <v/>
      </c>
      <c r="E18" s="21">
        <f>(B7-B7*0.25)*B12*B6/B12*B13/1750</f>
        <v/>
      </c>
      <c r="F18" s="22" t="inlineStr">
        <is>
          <t>75% time reduction (Ørsted benchmark)</t>
        </is>
      </c>
    </row>
    <row r="19">
      <c r="A19" s="23" t="inlineStr">
        <is>
          <t>Contract NLP Review</t>
        </is>
      </c>
      <c r="B19" s="7" t="inlineStr">
        <is>
          <t>Hours per contract review</t>
        </is>
      </c>
      <c r="C19" s="24">
        <f>B9</f>
        <v/>
      </c>
      <c r="D19" s="20">
        <f>B9*0.2</f>
        <v/>
      </c>
      <c r="E19" s="21">
        <f>(B9-B9*0.2)*B8*B13/1750</f>
        <v/>
      </c>
      <c r="F19" s="14" t="inlineStr">
        <is>
          <t>80% faster (Luminance / Icertis benchmark)</t>
        </is>
      </c>
    </row>
    <row r="20">
      <c r="A20" s="18" t="inlineStr">
        <is>
          <t>Supplier Monitoring</t>
        </is>
      </c>
      <c r="B20" s="5" t="inlineStr">
        <is>
          <t>Annual monitoring cost</t>
        </is>
      </c>
      <c r="C20" s="19">
        <f>B11</f>
        <v/>
      </c>
      <c r="D20" s="20">
        <f>B11*0.3</f>
        <v/>
      </c>
      <c r="E20" s="21">
        <f>B11-B11*0.3</f>
        <v/>
      </c>
      <c r="F20" s="22" t="inlineStr">
        <is>
          <t>70% cost reduction (continuous vs annual review)</t>
        </is>
      </c>
    </row>
    <row r="21">
      <c r="A21" s="23" t="inlineStr">
        <is>
          <t>Spend Classification</t>
        </is>
      </c>
      <c r="B21" s="7" t="inlineStr">
        <is>
          <t>Classification accuracy</t>
        </is>
      </c>
      <c r="C21" s="24">
        <f>B14</f>
        <v/>
      </c>
      <c r="D21" s="20">
        <f>0.88</f>
        <v/>
      </c>
      <c r="E21" s="21">
        <f>B5*(0.88-B14)*0.05</f>
        <v/>
      </c>
      <c r="F21" s="14" t="inlineStr">
        <is>
          <t>5% spend recovery per accuracy point gained</t>
        </is>
      </c>
    </row>
    <row r="22">
      <c r="A22" s="18" t="inlineStr">
        <is>
          <t>Demand Forecasting (MRO)</t>
        </is>
      </c>
      <c r="B22" s="5" t="inlineStr">
        <is>
          <t>Emergency premium spend</t>
        </is>
      </c>
      <c r="C22" s="19">
        <f>B5*0.03</f>
        <v/>
      </c>
      <c r="D22" s="20">
        <f>B5*0.03*0.5</f>
        <v/>
      </c>
      <c r="E22" s="21">
        <f>B5*0.03*0.5</f>
        <v/>
      </c>
      <c r="F22" s="22" t="inlineStr">
        <is>
          <t>50% reduction in emergency buys (Vattenfall benchmark)</t>
        </is>
      </c>
    </row>
    <row r="23">
      <c r="A23" s="23" t="inlineStr">
        <is>
          <t>Negotiation Preparation</t>
        </is>
      </c>
      <c r="B23" s="7" t="inlineStr">
        <is>
          <t>Sourcing events with full data pack</t>
        </is>
      </c>
      <c r="C23" s="24">
        <f>B6*0.2</f>
        <v/>
      </c>
      <c r="D23" s="20">
        <f>B6*0.8</f>
        <v/>
      </c>
      <c r="E23" s="21">
        <f>B5*0.002</f>
        <v/>
      </c>
      <c r="F23" s="14" t="inlineStr">
        <is>
          <t>0.2% additional savings from better-prepared negotiations</t>
        </is>
      </c>
    </row>
    <row r="24">
      <c r="A24" s="18" t="inlineStr">
        <is>
          <t>Category Strategy</t>
        </is>
      </c>
      <c r="B24" s="5" t="inlineStr">
        <is>
          <t>Strategies completed per year</t>
        </is>
      </c>
      <c r="C24" s="19">
        <f>3</f>
        <v/>
      </c>
      <c r="D24" s="20">
        <f>12</f>
        <v/>
      </c>
      <c r="E24" s="21">
        <f>B5*0.005</f>
        <v/>
      </c>
      <c r="F24" s="22" t="inlineStr">
        <is>
          <t>0.5% strategic savings from better category coverage</t>
        </is>
      </c>
    </row>
    <row r="25">
      <c r="A25" s="23" t="inlineStr">
        <is>
          <t>CSRD Compliance</t>
        </is>
      </c>
      <c r="B25" s="7" t="inlineStr">
        <is>
          <t>Manual compliance checks</t>
        </is>
      </c>
      <c r="C25" s="24">
        <f>B10*12</f>
        <v/>
      </c>
      <c r="D25" s="20">
        <f>B10*0.1</f>
        <v/>
      </c>
      <c r="E25" s="21">
        <f>(B10*12-B10*0.1)*B13/1750*4</f>
        <v/>
      </c>
      <c r="F25" s="14" t="inlineStr">
        <is>
          <t>4 hrs per check vs 0.1 automated equiv.</t>
        </is>
      </c>
    </row>
    <row r="26">
      <c r="A26" s="25" t="inlineStr">
        <is>
          <t>TOTAL ESTIMATED ANNUAL VALUE</t>
        </is>
      </c>
      <c r="E26" s="26">
        <f>SUM(E18:E25)</f>
        <v/>
      </c>
    </row>
    <row r="28">
      <c r="A28" s="27" t="inlineStr">
        <is>
          <t>Estimated programme cost (annual, EUR)</t>
        </is>
      </c>
      <c r="E28" s="28" t="n">
        <v>750000</v>
      </c>
    </row>
    <row r="29">
      <c r="A29" s="29" t="inlineStr">
        <is>
          <t>NET ANNUAL VALUE</t>
        </is>
      </c>
      <c r="E29" s="30">
        <f>E26-E28</f>
        <v/>
      </c>
    </row>
    <row r="30">
      <c r="A30" s="31" t="inlineStr">
        <is>
          <t>ROI (x)</t>
        </is>
      </c>
      <c r="E30" s="32">
        <f>E26/E28</f>
        <v/>
      </c>
    </row>
  </sheetData>
  <mergeCells count="4">
    <mergeCell ref="A29:D29"/>
    <mergeCell ref="A1:J2"/>
    <mergeCell ref="A26:D26"/>
    <mergeCell ref="A30:D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7" customWidth="1" min="9" max="9"/>
    <col width="14" customWidth="1" min="10" max="10"/>
    <col width="10" customWidth="1" min="11" max="11"/>
    <col width="14" customWidth="1" min="12" max="12"/>
    <col width="22" customWidth="1" min="13" max="13"/>
  </cols>
  <sheetData>
    <row r="1" ht="28" customHeight="1">
      <c r="A1" s="33" t="inlineStr">
        <is>
          <t>USE CASE PRIORITISATION MATRIX  —  Score each use case 1–5 on each dimension. Priority Score auto-calculates.</t>
        </is>
      </c>
    </row>
    <row r="2"/>
    <row r="4">
      <c r="A4" s="34" t="inlineStr">
        <is>
          <t xml:space="preserve">  SCORING WEIGHTS (adjust to reflect Statkraft priorities — must sum to 100%)</t>
        </is>
      </c>
    </row>
    <row r="5">
      <c r="C5" s="35" t="n">
        <v>0.4</v>
      </c>
      <c r="D5" s="35" t="n">
        <v>0.2</v>
      </c>
      <c r="E5" s="35" t="n">
        <v>0.15</v>
      </c>
      <c r="F5" s="35" t="n">
        <v>0.15</v>
      </c>
      <c r="G5" s="35" t="n">
        <v>0.1</v>
      </c>
    </row>
    <row r="6">
      <c r="C6" s="36" t="inlineStr">
        <is>
          <t>Business Value (40%)</t>
        </is>
      </c>
      <c r="D6" s="36" t="inlineStr">
        <is>
          <t>Implementation Speed (20%)</t>
        </is>
      </c>
      <c r="E6" s="36" t="inlineStr">
        <is>
          <t>Data Availability (15%)</t>
        </is>
      </c>
      <c r="F6" s="36" t="inlineStr">
        <is>
          <t>Risk (15%)</t>
        </is>
      </c>
      <c r="G6" s="36" t="inlineStr">
        <is>
          <t>Strategic Fit (10%)</t>
        </is>
      </c>
    </row>
    <row r="7">
      <c r="A7" s="12" t="inlineStr">
        <is>
          <t>Use Case</t>
        </is>
      </c>
      <c r="B7" s="12" t="inlineStr">
        <is>
          <t>Category</t>
        </is>
      </c>
      <c r="C7" s="12" t="inlineStr">
        <is>
          <t>Business
Value (1-5)</t>
        </is>
      </c>
      <c r="D7" s="12" t="inlineStr">
        <is>
          <t>Implementation
Speed (1-5)</t>
        </is>
      </c>
      <c r="E7" s="12" t="inlineStr">
        <is>
          <t>Data
Availability (1-5)</t>
        </is>
      </c>
      <c r="F7" s="12" t="inlineStr">
        <is>
          <t>Risk Score
(1-5, 5=low risk)</t>
        </is>
      </c>
      <c r="G7" s="12" t="inlineStr">
        <is>
          <t>Strategic
Fit (1-5)</t>
        </is>
      </c>
      <c r="H7" s="12" t="inlineStr">
        <is>
          <t>PRIORITY
SCORE</t>
        </is>
      </c>
      <c r="I7" s="12" t="inlineStr">
        <is>
          <t>Rank</t>
        </is>
      </c>
      <c r="J7" s="12" t="inlineStr">
        <is>
          <t>Recommended
Track</t>
        </is>
      </c>
      <c r="K7" s="12" t="inlineStr">
        <is>
          <t>Effort
(weeks)</t>
        </is>
      </c>
      <c r="L7" s="12" t="inlineStr">
        <is>
          <t>Est. Saving
(EUR/yr)</t>
        </is>
      </c>
      <c r="M7" s="12" t="inlineStr">
        <is>
          <t>Notes</t>
        </is>
      </c>
    </row>
    <row r="8">
      <c r="A8" s="5" t="inlineStr">
        <is>
          <t>Spend Classification</t>
        </is>
      </c>
      <c r="B8" s="5" t="inlineStr">
        <is>
          <t>Data Quality</t>
        </is>
      </c>
      <c r="C8" s="15" t="n">
        <v>5</v>
      </c>
      <c r="D8" s="15" t="n">
        <v>4</v>
      </c>
      <c r="E8" s="15" t="n">
        <v>4</v>
      </c>
      <c r="F8" s="15" t="n">
        <v>5</v>
      </c>
      <c r="G8" s="15" t="n">
        <v>4</v>
      </c>
      <c r="H8" s="37">
        <f>C8*$C$5+D8*$D$5+E8*$E$5+F8*$F$5+G8*$G$5</f>
        <v/>
      </c>
      <c r="I8" s="38">
        <f>RANK(H8,H$8:H$19,0)</f>
        <v/>
      </c>
      <c r="J8" s="6" t="inlineStr">
        <is>
          <t>Track B</t>
        </is>
      </c>
      <c r="K8" s="6" t="inlineStr">
        <is>
          <t>4–6</t>
        </is>
      </c>
      <c r="L8" s="39">
        <f>250000</f>
        <v/>
      </c>
      <c r="M8" s="40" t="inlineStr">
        <is>
          <t>Foundation for all other AI use cases</t>
        </is>
      </c>
    </row>
    <row r="9">
      <c r="A9" s="7" t="inlineStr">
        <is>
          <t>Contract NLP Scanning</t>
        </is>
      </c>
      <c r="B9" s="7" t="inlineStr">
        <is>
          <t>Contract Mgmt</t>
        </is>
      </c>
      <c r="C9" s="15" t="n">
        <v>5</v>
      </c>
      <c r="D9" s="15" t="n">
        <v>4</v>
      </c>
      <c r="E9" s="15" t="n">
        <v>3</v>
      </c>
      <c r="F9" s="15" t="n">
        <v>5</v>
      </c>
      <c r="G9" s="15" t="n">
        <v>4</v>
      </c>
      <c r="H9" s="37">
        <f>C9*$C$5+D9*$D$5+E9*$E$5+F9*$F$5+G9*$G$5</f>
        <v/>
      </c>
      <c r="I9" s="38">
        <f>RANK(H9,H$8:H$19,0)</f>
        <v/>
      </c>
      <c r="J9" s="8" t="inlineStr">
        <is>
          <t>Track B</t>
        </is>
      </c>
      <c r="K9" s="8" t="inlineStr">
        <is>
          <t>6–8</t>
        </is>
      </c>
      <c r="L9" s="39">
        <f>180000</f>
        <v/>
      </c>
      <c r="M9" s="41" t="inlineStr">
        <is>
          <t>Immediate portfolio value, no supplier risk</t>
        </is>
      </c>
    </row>
    <row r="10">
      <c r="A10" s="5" t="inlineStr">
        <is>
          <t>Supplier Monitoring</t>
        </is>
      </c>
      <c r="B10" s="5" t="inlineStr">
        <is>
          <t>Risk Mgmt</t>
        </is>
      </c>
      <c r="C10" s="15" t="n">
        <v>5</v>
      </c>
      <c r="D10" s="15" t="n">
        <v>3</v>
      </c>
      <c r="E10" s="15" t="n">
        <v>4</v>
      </c>
      <c r="F10" s="15" t="n">
        <v>4</v>
      </c>
      <c r="G10" s="15" t="n">
        <v>5</v>
      </c>
      <c r="H10" s="37">
        <f>C10*$C$5+D10*$D$5+E10*$E$5+F10*$F$5+G10*$G$5</f>
        <v/>
      </c>
      <c r="I10" s="38">
        <f>RANK(H10,H$8:H$19,0)</f>
        <v/>
      </c>
      <c r="J10" s="6" t="inlineStr">
        <is>
          <t>Track D</t>
        </is>
      </c>
      <c r="K10" s="6" t="inlineStr">
        <is>
          <t>8–10</t>
        </is>
      </c>
      <c r="L10" s="39">
        <f>150000</f>
        <v/>
      </c>
      <c r="M10" s="40" t="inlineStr">
        <is>
          <t>Manu Forti product — continuous monitoring</t>
        </is>
      </c>
    </row>
    <row r="11">
      <c r="A11" s="7" t="inlineStr">
        <is>
          <t>RFQ Generation</t>
        </is>
      </c>
      <c r="B11" s="7" t="inlineStr">
        <is>
          <t>Sourcing</t>
        </is>
      </c>
      <c r="C11" s="15" t="n">
        <v>5</v>
      </c>
      <c r="D11" s="15" t="n">
        <v>4</v>
      </c>
      <c r="E11" s="15" t="n">
        <v>4</v>
      </c>
      <c r="F11" s="15" t="n">
        <v>4</v>
      </c>
      <c r="G11" s="15" t="n">
        <v>5</v>
      </c>
      <c r="H11" s="37">
        <f>C11*$C$5+D11*$D$5+E11*$E$5+F11*$F$5+G11*$G$5</f>
        <v/>
      </c>
      <c r="I11" s="38">
        <f>RANK(H11,H$8:H$19,0)</f>
        <v/>
      </c>
      <c r="J11" s="8" t="inlineStr">
        <is>
          <t>Track D</t>
        </is>
      </c>
      <c r="K11" s="8" t="inlineStr">
        <is>
          <t>8–12</t>
        </is>
      </c>
      <c r="L11" s="39">
        <f>320000</f>
        <v/>
      </c>
      <c r="M11" s="41" t="inlineStr">
        <is>
          <t>4–8 hrs saved per event, proven at Ørsted/BP</t>
        </is>
      </c>
    </row>
    <row r="12">
      <c r="A12" s="5" t="inlineStr">
        <is>
          <t>Demand Forecasting MRO</t>
        </is>
      </c>
      <c r="B12" s="5" t="inlineStr">
        <is>
          <t>MRO</t>
        </is>
      </c>
      <c r="C12" s="15" t="n">
        <v>4</v>
      </c>
      <c r="D12" s="15" t="n">
        <v>3</v>
      </c>
      <c r="E12" s="15" t="n">
        <v>3</v>
      </c>
      <c r="F12" s="15" t="n">
        <v>4</v>
      </c>
      <c r="G12" s="15" t="n">
        <v>4</v>
      </c>
      <c r="H12" s="37">
        <f>C12*$C$5+D12*$D$5+E12*$E$5+F12*$F$5+G12*$G$5</f>
        <v/>
      </c>
      <c r="I12" s="38">
        <f>RANK(H12,H$8:H$19,0)</f>
        <v/>
      </c>
      <c r="J12" s="6" t="inlineStr">
        <is>
          <t>Track D</t>
        </is>
      </c>
      <c r="K12" s="6" t="inlineStr">
        <is>
          <t>12–16</t>
        </is>
      </c>
      <c r="L12" s="39">
        <f>450000</f>
        <v/>
      </c>
      <c r="M12" s="40" t="inlineStr">
        <is>
          <t>Vattenfall 6-12m horizon benchmark</t>
        </is>
      </c>
    </row>
    <row r="13">
      <c r="A13" s="7" t="inlineStr">
        <is>
          <t>Negotiation Pack Builder</t>
        </is>
      </c>
      <c r="B13" s="7" t="inlineStr">
        <is>
          <t>Sourcing</t>
        </is>
      </c>
      <c r="C13" s="15" t="n">
        <v>5</v>
      </c>
      <c r="D13" s="15" t="n">
        <v>3</v>
      </c>
      <c r="E13" s="15" t="n">
        <v>4</v>
      </c>
      <c r="F13" s="15" t="n">
        <v>4</v>
      </c>
      <c r="G13" s="15" t="n">
        <v>4</v>
      </c>
      <c r="H13" s="37">
        <f>C13*$C$5+D13*$D$5+E13*$E$5+F13*$F$5+G13*$G$5</f>
        <v/>
      </c>
      <c r="I13" s="38">
        <f>RANK(H13,H$8:H$19,0)</f>
        <v/>
      </c>
      <c r="J13" s="8" t="inlineStr">
        <is>
          <t>Track D</t>
        </is>
      </c>
      <c r="K13" s="8" t="inlineStr">
        <is>
          <t>10–14</t>
        </is>
      </c>
      <c r="L13" s="39">
        <f>250000</f>
        <v/>
      </c>
      <c r="M13" s="41" t="inlineStr">
        <is>
          <t>Market data + BATNA + walk-away</t>
        </is>
      </c>
    </row>
    <row r="14">
      <c r="A14" s="5" t="inlineStr">
        <is>
          <t>Category Strategy Agent</t>
        </is>
      </c>
      <c r="B14" s="5" t="inlineStr">
        <is>
          <t>Strategy</t>
        </is>
      </c>
      <c r="C14" s="15" t="n">
        <v>5</v>
      </c>
      <c r="D14" s="15" t="n">
        <v>2</v>
      </c>
      <c r="E14" s="15" t="n">
        <v>4</v>
      </c>
      <c r="F14" s="15" t="n">
        <v>3</v>
      </c>
      <c r="G14" s="15" t="n">
        <v>5</v>
      </c>
      <c r="H14" s="37">
        <f>C14*$C$5+D14*$D$5+E14*$E$5+F14*$F$5+G14*$G$5</f>
        <v/>
      </c>
      <c r="I14" s="38">
        <f>RANK(H14,H$8:H$19,0)</f>
        <v/>
      </c>
      <c r="J14" s="6" t="inlineStr">
        <is>
          <t>Track D</t>
        </is>
      </c>
      <c r="K14" s="6" t="inlineStr">
        <is>
          <t>16–20</t>
        </is>
      </c>
      <c r="L14" s="39">
        <f>500000</f>
        <v/>
      </c>
      <c r="M14" s="40" t="inlineStr">
        <is>
          <t>Highest value — weeks → days to draft</t>
        </is>
      </c>
    </row>
    <row r="15">
      <c r="A15" s="7" t="inlineStr">
        <is>
          <t>CSRD Compliance Agent</t>
        </is>
      </c>
      <c r="B15" s="7" t="inlineStr">
        <is>
          <t>Compliance</t>
        </is>
      </c>
      <c r="C15" s="15" t="n">
        <v>4</v>
      </c>
      <c r="D15" s="15" t="n">
        <v>3</v>
      </c>
      <c r="E15" s="15" t="n">
        <v>3</v>
      </c>
      <c r="F15" s="15" t="n">
        <v>3</v>
      </c>
      <c r="G15" s="15" t="n">
        <v>5</v>
      </c>
      <c r="H15" s="37">
        <f>C15*$C$5+D15*$D$5+E15*$E$5+F15*$F$5+G15*$G$5</f>
        <v/>
      </c>
      <c r="I15" s="38">
        <f>RANK(H15,H$8:H$19,0)</f>
        <v/>
      </c>
      <c r="J15" s="8" t="inlineStr">
        <is>
          <t>Track D</t>
        </is>
      </c>
      <c r="K15" s="8" t="inlineStr">
        <is>
          <t>12–16</t>
        </is>
      </c>
      <c r="L15" s="39">
        <f>200000</f>
        <v/>
      </c>
      <c r="M15" s="41" t="inlineStr">
        <is>
          <t>Mandatory for CSRD 2026 reporting</t>
        </is>
      </c>
    </row>
    <row r="16">
      <c r="A16" s="5" t="inlineStr">
        <is>
          <t>Invoice Processing</t>
        </is>
      </c>
      <c r="B16" s="5" t="inlineStr">
        <is>
          <t>P2P</t>
        </is>
      </c>
      <c r="C16" s="15" t="n">
        <v>3</v>
      </c>
      <c r="D16" s="15" t="n">
        <v>5</v>
      </c>
      <c r="E16" s="15" t="n">
        <v>4</v>
      </c>
      <c r="F16" s="15" t="n">
        <v>5</v>
      </c>
      <c r="G16" s="15" t="n">
        <v>3</v>
      </c>
      <c r="H16" s="37">
        <f>C16*$C$5+D16*$D$5+E16*$E$5+F16*$F$5+G16*$G$5</f>
        <v/>
      </c>
      <c r="I16" s="38">
        <f>RANK(H16,H$8:H$19,0)</f>
        <v/>
      </c>
      <c r="J16" s="6" t="inlineStr">
        <is>
          <t>Track B</t>
        </is>
      </c>
      <c r="K16" s="6" t="inlineStr">
        <is>
          <t>4–6</t>
        </is>
      </c>
      <c r="L16" s="39">
        <f>120000</f>
        <v/>
      </c>
      <c r="M16" s="40" t="inlineStr">
        <is>
          <t>3-way match + anomaly detection</t>
        </is>
      </c>
    </row>
    <row r="17">
      <c r="A17" s="7" t="inlineStr">
        <is>
          <t>Market Price Intelligence</t>
        </is>
      </c>
      <c r="B17" s="7" t="inlineStr">
        <is>
          <t>Market Intel</t>
        </is>
      </c>
      <c r="C17" s="15" t="n">
        <v>4</v>
      </c>
      <c r="D17" s="15" t="n">
        <v>5</v>
      </c>
      <c r="E17" s="15" t="n">
        <v>5</v>
      </c>
      <c r="F17" s="15" t="n">
        <v>5</v>
      </c>
      <c r="G17" s="15" t="n">
        <v>3</v>
      </c>
      <c r="H17" s="37">
        <f>C17*$C$5+D17*$D$5+E17*$E$5+F17*$F$5+G17*$G$5</f>
        <v/>
      </c>
      <c r="I17" s="38">
        <f>RANK(H17,H$8:H$19,0)</f>
        <v/>
      </c>
      <c r="J17" s="8" t="inlineStr">
        <is>
          <t>Track A</t>
        </is>
      </c>
      <c r="K17" s="8" t="inlineStr">
        <is>
          <t>2–4</t>
        </is>
      </c>
      <c r="L17" s="39">
        <f>80000</f>
        <v/>
      </c>
      <c r="M17" s="41" t="inlineStr">
        <is>
          <t>Daily briefings on commodity indices</t>
        </is>
      </c>
    </row>
    <row r="18">
      <c r="A18" s="5" t="inlineStr">
        <is>
          <t>Supplier Onboarding</t>
        </is>
      </c>
      <c r="B18" s="5" t="inlineStr">
        <is>
          <t>Supplier Mgmt</t>
        </is>
      </c>
      <c r="C18" s="15" t="n">
        <v>3</v>
      </c>
      <c r="D18" s="15" t="n">
        <v>3</v>
      </c>
      <c r="E18" s="15" t="n">
        <v>3</v>
      </c>
      <c r="F18" s="15" t="n">
        <v>4</v>
      </c>
      <c r="G18" s="15" t="n">
        <v>3</v>
      </c>
      <c r="H18" s="37">
        <f>C18*$C$5+D18*$D$5+E18*$E$5+F18*$F$5+G18*$G$5</f>
        <v/>
      </c>
      <c r="I18" s="38">
        <f>RANK(H18,H$8:H$19,0)</f>
        <v/>
      </c>
      <c r="J18" s="6" t="inlineStr">
        <is>
          <t>Track C</t>
        </is>
      </c>
      <c r="K18" s="6" t="inlineStr">
        <is>
          <t>10–14</t>
        </is>
      </c>
      <c r="L18" s="39">
        <f>100000</f>
        <v/>
      </c>
      <c r="M18" s="40" t="inlineStr">
        <is>
          <t>Automated due diligence</t>
        </is>
      </c>
    </row>
    <row r="19">
      <c r="A19" s="7" t="inlineStr">
        <is>
          <t>Contract Drafting Assist</t>
        </is>
      </c>
      <c r="B19" s="7" t="inlineStr">
        <is>
          <t>Contract Mgmt</t>
        </is>
      </c>
      <c r="C19" s="15" t="n">
        <v>4</v>
      </c>
      <c r="D19" s="15" t="n">
        <v>2</v>
      </c>
      <c r="E19" s="15" t="n">
        <v>4</v>
      </c>
      <c r="F19" s="15" t="n">
        <v>3</v>
      </c>
      <c r="G19" s="15" t="n">
        <v>4</v>
      </c>
      <c r="H19" s="37">
        <f>C19*$C$5+D19*$D$5+E19*$E$5+F19*$F$5+G19*$G$5</f>
        <v/>
      </c>
      <c r="I19" s="38">
        <f>RANK(H19,H$8:H$19,0)</f>
        <v/>
      </c>
      <c r="J19" s="8" t="inlineStr">
        <is>
          <t>Track C</t>
        </is>
      </c>
      <c r="K19" s="8" t="inlineStr">
        <is>
          <t>14–18</t>
        </is>
      </c>
      <c r="L19" s="39">
        <f>220000</f>
        <v/>
      </c>
      <c r="M19" s="41" t="inlineStr">
        <is>
          <t>40-60% legal cycle time reduction</t>
        </is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6" customWidth="1" min="12" max="12"/>
    <col width="8" customWidth="1" min="13" max="13"/>
    <col width="28" customWidth="1" min="14" max="14"/>
  </cols>
  <sheetData>
    <row r="1" ht="28" customHeight="1">
      <c r="A1" s="33" t="inlineStr">
        <is>
          <t>INITIATIVE TRACKER  —  One row per AI initiative. Update monthly.</t>
        </is>
      </c>
    </row>
    <row r="2"/>
    <row r="3">
      <c r="A3" s="42" t="inlineStr">
        <is>
          <t>ID</t>
        </is>
      </c>
      <c r="B3" s="42" t="inlineStr">
        <is>
          <t>Initiative Name</t>
        </is>
      </c>
      <c r="C3" s="42" t="inlineStr">
        <is>
          <t>Track</t>
        </is>
      </c>
      <c r="D3" s="42" t="inlineStr">
        <is>
          <t>Owner</t>
        </is>
      </c>
      <c r="E3" s="42" t="inlineStr">
        <is>
          <t>Phase</t>
        </is>
      </c>
      <c r="F3" s="42" t="inlineStr">
        <is>
          <t>Start Date</t>
        </is>
      </c>
      <c r="G3" s="42" t="inlineStr">
        <is>
          <t>Go-Live Date</t>
        </is>
      </c>
      <c r="H3" s="42" t="inlineStr">
        <is>
          <t>90-Day Review</t>
        </is>
      </c>
      <c r="I3" s="42" t="inlineStr">
        <is>
          <t>Baseline KPI</t>
        </is>
      </c>
      <c r="J3" s="42" t="inlineStr">
        <is>
          <t>Target KPI</t>
        </is>
      </c>
      <c r="K3" s="42" t="inlineStr">
        <is>
          <t>Current KPI</t>
        </is>
      </c>
      <c r="L3" s="42" t="inlineStr">
        <is>
          <t>EUR Saved (actual)</t>
        </is>
      </c>
      <c r="M3" s="42" t="inlineStr">
        <is>
          <t>Status</t>
        </is>
      </c>
      <c r="N3" s="42" t="inlineStr">
        <is>
          <t>Blockers / Notes</t>
        </is>
      </c>
    </row>
    <row r="4">
      <c r="A4" s="6" t="inlineStr">
        <is>
          <t>P-001</t>
        </is>
      </c>
      <c r="B4" s="5" t="inlineStr">
        <is>
          <t>Spend Classification Cleanup</t>
        </is>
      </c>
      <c r="C4" s="6" t="inlineStr">
        <is>
          <t>B</t>
        </is>
      </c>
      <c r="D4" s="6" t="inlineStr">
        <is>
          <t>[Procurement Lead]</t>
        </is>
      </c>
      <c r="E4" s="6" t="inlineStr">
        <is>
          <t>Pilot</t>
        </is>
      </c>
      <c r="F4" s="6" t="inlineStr">
        <is>
          <t>2026-04-01</t>
        </is>
      </c>
      <c r="G4" s="6" t="inlineStr">
        <is>
          <t>2026-06-01</t>
        </is>
      </c>
      <c r="H4" s="6" t="inlineStr">
        <is>
          <t>2026-09-01</t>
        </is>
      </c>
      <c r="I4" s="5" t="inlineStr">
        <is>
          <t>65% accuracy</t>
        </is>
      </c>
      <c r="J4" s="5" t="inlineStr">
        <is>
          <t>85% accuracy</t>
        </is>
      </c>
      <c r="K4" s="5" t="inlineStr"/>
      <c r="L4" s="6" t="inlineStr"/>
      <c r="M4" s="6" t="inlineStr">
        <is>
          <t>🟡 In Progress</t>
        </is>
      </c>
      <c r="N4" s="43" t="inlineStr">
        <is>
          <t>Awaiting SAP API access</t>
        </is>
      </c>
    </row>
    <row r="5">
      <c r="A5" s="8" t="inlineStr">
        <is>
          <t>P-002</t>
        </is>
      </c>
      <c r="B5" s="7" t="inlineStr">
        <is>
          <t>Contract NLP Scanning</t>
        </is>
      </c>
      <c r="C5" s="8" t="inlineStr">
        <is>
          <t>B</t>
        </is>
      </c>
      <c r="D5" s="8" t="inlineStr">
        <is>
          <t>[Category Manager]</t>
        </is>
      </c>
      <c r="E5" s="8" t="inlineStr">
        <is>
          <t>Planned</t>
        </is>
      </c>
      <c r="F5" s="8" t="inlineStr">
        <is>
          <t>2026-04-15</t>
        </is>
      </c>
      <c r="G5" s="8" t="inlineStr">
        <is>
          <t>2026-06-15</t>
        </is>
      </c>
      <c r="H5" s="8" t="inlineStr">
        <is>
          <t>2026-09-15</t>
        </is>
      </c>
      <c r="I5" s="7" t="inlineStr">
        <is>
          <t>4 hrs/contract</t>
        </is>
      </c>
      <c r="J5" s="7" t="inlineStr">
        <is>
          <t>45 min/contract</t>
        </is>
      </c>
      <c r="K5" s="7" t="inlineStr"/>
      <c r="L5" s="8" t="inlineStr"/>
      <c r="M5" s="8" t="inlineStr">
        <is>
          <t>🔵 Planned</t>
        </is>
      </c>
      <c r="N5" s="44" t="inlineStr">
        <is>
          <t>Tool selection in progress</t>
        </is>
      </c>
    </row>
    <row r="6">
      <c r="A6" s="6" t="inlineStr">
        <is>
          <t>P-003</t>
        </is>
      </c>
      <c r="B6" s="5" t="inlineStr">
        <is>
          <t>Supplier Monitoring Agent</t>
        </is>
      </c>
      <c r="C6" s="6" t="inlineStr">
        <is>
          <t>D</t>
        </is>
      </c>
      <c r="D6" s="6" t="inlineStr">
        <is>
          <t>[Risk Manager]</t>
        </is>
      </c>
      <c r="E6" s="6" t="inlineStr">
        <is>
          <t>Planned</t>
        </is>
      </c>
      <c r="F6" s="6" t="inlineStr">
        <is>
          <t>2026-05-01</t>
        </is>
      </c>
      <c r="G6" s="6" t="inlineStr">
        <is>
          <t>2026-07-01</t>
        </is>
      </c>
      <c r="H6" s="6" t="inlineStr">
        <is>
          <t>2026-10-01</t>
        </is>
      </c>
      <c r="I6" s="5" t="inlineStr">
        <is>
          <t>Annual review</t>
        </is>
      </c>
      <c r="J6" s="5" t="inlineStr">
        <is>
          <t>Continuous</t>
        </is>
      </c>
      <c r="K6" s="5" t="inlineStr"/>
      <c r="L6" s="6" t="inlineStr"/>
      <c r="M6" s="6" t="inlineStr">
        <is>
          <t>🔵 Planned</t>
        </is>
      </c>
      <c r="N6" s="43" t="inlineStr">
        <is>
          <t>Jaggaer API mapping needed</t>
        </is>
      </c>
    </row>
  </sheetData>
  <mergeCells count="1">
    <mergeCell ref="A1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32" customWidth="1" min="7" max="7"/>
  </cols>
  <sheetData>
    <row r="1" ht="28" customHeight="1">
      <c r="A1" s="11" t="inlineStr">
        <is>
          <t>ON-PREMISES AI HARDWARE &amp; TOTAL COST ESTIMATOR</t>
        </is>
      </c>
    </row>
    <row r="2"/>
    <row r="4">
      <c r="A4" s="34" t="inlineStr">
        <is>
          <t xml:space="preserve">  TIER 1: ON-PREMISES INFERENCE SERVER (CONFIDENTIAL data)</t>
        </is>
      </c>
    </row>
    <row r="5">
      <c r="A5" s="12" t="inlineStr">
        <is>
          <t>Component</t>
        </is>
      </c>
      <c r="B5" s="12" t="inlineStr">
        <is>
          <t>Specification</t>
        </is>
      </c>
      <c r="C5" s="12" t="inlineStr">
        <is>
          <t>Qty</t>
        </is>
      </c>
      <c r="D5" s="12" t="inlineStr">
        <is>
          <t>Unit Cost (EUR)</t>
        </is>
      </c>
      <c r="E5" s="12" t="inlineStr">
        <is>
          <t>Total Cost (EUR)</t>
        </is>
      </c>
      <c r="F5" s="12" t="inlineStr">
        <is>
          <t>Annual Maintenance</t>
        </is>
      </c>
      <c r="G5" s="12" t="inlineStr">
        <is>
          <t>Notes</t>
        </is>
      </c>
      <c r="H5" s="12" t="n"/>
      <c r="I5" s="12" t="n"/>
    </row>
    <row r="6">
      <c r="A6" s="18" t="inlineStr">
        <is>
          <t>GPU Server</t>
        </is>
      </c>
      <c r="B6" s="5" t="inlineStr">
        <is>
          <t>NVIDIA DGX H100 (8×H100 80GB) or Dell PowerEdge R760xa</t>
        </is>
      </c>
      <c r="C6" s="6" t="n">
        <v>1</v>
      </c>
      <c r="D6" s="45" t="n">
        <v>150000</v>
      </c>
      <c r="E6" s="39">
        <f>C6*D6</f>
        <v/>
      </c>
      <c r="F6" s="39">
        <f>E6*0.15</f>
        <v/>
      </c>
      <c r="G6" s="22" t="inlineStr">
        <is>
          <t>Runs Llama 3.3 70B / Mistral 3 comfortably</t>
        </is>
      </c>
    </row>
    <row r="7">
      <c r="A7" s="23" t="inlineStr">
        <is>
          <t>GPU (alternative)</t>
        </is>
      </c>
      <c r="B7" s="7" t="inlineStr">
        <is>
          <t>2× NVIDIA A100 80GB PCIe in standard server (budget path)</t>
        </is>
      </c>
      <c r="C7" s="8" t="n">
        <v>1</v>
      </c>
      <c r="D7" s="45" t="n">
        <v>45000</v>
      </c>
      <c r="E7" s="39">
        <f>C7*D7</f>
        <v/>
      </c>
      <c r="F7" s="39">
        <f>E7*0.15</f>
        <v/>
      </c>
      <c r="G7" s="14" t="inlineStr">
        <is>
          <t>Sufficient for most procurement tasks</t>
        </is>
      </c>
    </row>
    <row r="8">
      <c r="A8" s="18" t="inlineStr">
        <is>
          <t>CPU Server (orchestration)</t>
        </is>
      </c>
      <c r="B8" s="5" t="inlineStr">
        <is>
          <t>Dell PowerEdge R650 or HP ProLiant DL380</t>
        </is>
      </c>
      <c r="C8" s="6" t="n">
        <v>2</v>
      </c>
      <c r="D8" s="45" t="n">
        <v>8000</v>
      </c>
      <c r="E8" s="39">
        <f>C8*D8</f>
        <v/>
      </c>
      <c r="F8" s="39">
        <f>E8*0.15</f>
        <v/>
      </c>
      <c r="G8" s="22" t="inlineStr">
        <is>
          <t>Runs OpenClaw, LangChain, vector DB</t>
        </is>
      </c>
    </row>
    <row r="9">
      <c r="A9" s="23" t="inlineStr">
        <is>
          <t>NVMe Storage</t>
        </is>
      </c>
      <c r="B9" s="7" t="inlineStr">
        <is>
          <t>4TB NVMe SSD array for model weights + vector DB</t>
        </is>
      </c>
      <c r="C9" s="8" t="n">
        <v>2</v>
      </c>
      <c r="D9" s="45" t="n">
        <v>3000</v>
      </c>
      <c r="E9" s="39">
        <f>C9*D9</f>
        <v/>
      </c>
      <c r="F9" s="39">
        <f>E9*0.15</f>
        <v/>
      </c>
      <c r="G9" s="14" t="inlineStr">
        <is>
          <t>Llama 3.3 70B = ~140GB; embeddings storage</t>
        </is>
      </c>
    </row>
    <row r="10">
      <c r="A10" s="18" t="inlineStr">
        <is>
          <t>Network Switch</t>
        </is>
      </c>
      <c r="B10" s="5" t="inlineStr">
        <is>
          <t>10GbE managed switch for VLAN isolation</t>
        </is>
      </c>
      <c r="C10" s="6" t="n">
        <v>1</v>
      </c>
      <c r="D10" s="45" t="n">
        <v>2500</v>
      </c>
      <c r="E10" s="39">
        <f>C10*D10</f>
        <v/>
      </c>
      <c r="F10" s="39">
        <f>E10*0.15</f>
        <v/>
      </c>
      <c r="G10" s="22" t="inlineStr">
        <is>
          <t>Dedicated VLAN for AI inference layer</t>
        </is>
      </c>
    </row>
    <row r="11">
      <c r="A11" s="23" t="inlineStr">
        <is>
          <t>UPS</t>
        </is>
      </c>
      <c r="B11" s="7" t="inlineStr">
        <is>
          <t>APC Smart-UPS 3000VA</t>
        </is>
      </c>
      <c r="C11" s="8" t="n">
        <v>2</v>
      </c>
      <c r="D11" s="45" t="n">
        <v>1800</v>
      </c>
      <c r="E11" s="39">
        <f>C11*D11</f>
        <v/>
      </c>
      <c r="F11" s="39">
        <f>E11*0.15</f>
        <v/>
      </c>
      <c r="G11" s="14" t="inlineStr">
        <is>
          <t>Power protection for inference servers</t>
        </is>
      </c>
    </row>
    <row r="12">
      <c r="A12" s="18" t="inlineStr">
        <is>
          <t>Rack</t>
        </is>
      </c>
      <c r="B12" s="5" t="inlineStr">
        <is>
          <t>42U server rack with PDU and cable management</t>
        </is>
      </c>
      <c r="C12" s="6" t="n">
        <v>1</v>
      </c>
      <c r="D12" s="45" t="n">
        <v>1200</v>
      </c>
      <c r="E12" s="39">
        <f>C12*D12</f>
        <v/>
      </c>
      <c r="F12" s="39">
        <f>E12*0.15</f>
        <v/>
      </c>
      <c r="G12" s="22" t="inlineStr"/>
    </row>
    <row r="13">
      <c r="A13" s="25" t="inlineStr">
        <is>
          <t>HARDWARE TOTAL (CAPEX)</t>
        </is>
      </c>
      <c r="E13" s="46">
        <f>SUM(E6:E12)</f>
        <v/>
      </c>
      <c r="F13" s="46">
        <f>SUM(F6:F12)</f>
        <v/>
      </c>
    </row>
    <row r="15">
      <c r="A15" s="34" t="inlineStr">
        <is>
          <t xml:space="preserve">  SOFTWARE LICENCES &amp; RUNNING COSTS (ANNUAL OPEX)</t>
        </is>
      </c>
    </row>
    <row r="16">
      <c r="A16" s="12" t="inlineStr">
        <is>
          <t>Software / Service</t>
        </is>
      </c>
      <c r="B16" s="12" t="inlineStr">
        <is>
          <t>Description</t>
        </is>
      </c>
      <c r="C16" s="12" t="inlineStr">
        <is>
          <t>Licence Model</t>
        </is>
      </c>
      <c r="D16" s="12" t="inlineStr">
        <is>
          <t>Annual Cost (EUR)</t>
        </is>
      </c>
      <c r="E16" s="12" t="inlineStr">
        <is>
          <t>Notes</t>
        </is>
      </c>
      <c r="F16" s="12" t="n"/>
      <c r="G16" s="12" t="n"/>
      <c r="H16" s="12" t="n"/>
      <c r="I16" s="12" t="n"/>
    </row>
    <row r="17">
      <c r="A17" s="18" t="inlineStr">
        <is>
          <t>Ollama / vLLM</t>
        </is>
      </c>
      <c r="B17" s="5" t="inlineStr">
        <is>
          <t>LLM inference runtime for on-prem models</t>
        </is>
      </c>
      <c r="C17" s="47" t="inlineStr">
        <is>
          <t>Open Source</t>
        </is>
      </c>
      <c r="D17" s="39" t="n">
        <v>0</v>
      </c>
      <c r="E17" s="22" t="inlineStr">
        <is>
          <t>Free — self-hosted</t>
        </is>
      </c>
    </row>
    <row r="18">
      <c r="A18" s="23" t="inlineStr">
        <is>
          <t>Llama 3.3 / Mistral</t>
        </is>
      </c>
      <c r="B18" s="7" t="inlineStr">
        <is>
          <t>Foundation LLM models</t>
        </is>
      </c>
      <c r="C18" s="47" t="inlineStr">
        <is>
          <t>Open Source (Meta/Mistral)</t>
        </is>
      </c>
      <c r="D18" s="39" t="n">
        <v>0</v>
      </c>
      <c r="E18" s="14" t="inlineStr">
        <is>
          <t>Free weights — no per-token cost</t>
        </is>
      </c>
    </row>
    <row r="19">
      <c r="A19" s="18" t="inlineStr">
        <is>
          <t>OpenClaw</t>
        </is>
      </c>
      <c r="B19" s="5" t="inlineStr">
        <is>
          <t>Agent orchestration platform</t>
        </is>
      </c>
      <c r="C19" s="48" t="inlineStr">
        <is>
          <t>npm install</t>
        </is>
      </c>
      <c r="D19" s="39" t="n">
        <v>0</v>
      </c>
      <c r="E19" s="22" t="inlineStr">
        <is>
          <t>Open source — self-hosted</t>
        </is>
      </c>
    </row>
    <row r="20">
      <c r="A20" s="23" t="inlineStr">
        <is>
          <t>ChromaDB / Qdrant</t>
        </is>
      </c>
      <c r="B20" s="7" t="inlineStr">
        <is>
          <t>Vector database for RAG / document retrieval</t>
        </is>
      </c>
      <c r="C20" s="47" t="inlineStr">
        <is>
          <t>Open Source</t>
        </is>
      </c>
      <c r="D20" s="39" t="n">
        <v>0</v>
      </c>
      <c r="E20" s="14" t="inlineStr">
        <is>
          <t>Self-hosted on CPU server</t>
        </is>
      </c>
    </row>
    <row r="21">
      <c r="A21" s="18" t="inlineStr">
        <is>
          <t>LangChain</t>
        </is>
      </c>
      <c r="B21" s="5" t="inlineStr">
        <is>
          <t>Agent workflow and RAG framework</t>
        </is>
      </c>
      <c r="C21" s="47" t="inlineStr">
        <is>
          <t>Open Source</t>
        </is>
      </c>
      <c r="D21" s="39" t="n">
        <v>0</v>
      </c>
      <c r="E21" s="22" t="inlineStr">
        <is>
          <t>Python library</t>
        </is>
      </c>
    </row>
    <row r="22">
      <c r="A22" s="23" t="inlineStr">
        <is>
          <t>ELK Stack</t>
        </is>
      </c>
      <c r="B22" s="7" t="inlineStr">
        <is>
          <t>Elasticsearch + Logstash + Kibana for audit logs</t>
        </is>
      </c>
      <c r="C22" s="47" t="inlineStr">
        <is>
          <t>Open Source / Cloud</t>
        </is>
      </c>
      <c r="D22" s="49" t="n">
        <v>3600</v>
      </c>
      <c r="E22" s="14" t="inlineStr">
        <is>
          <t>€300/month Elastic Cloud basic tier</t>
        </is>
      </c>
    </row>
    <row r="23">
      <c r="A23" s="18" t="inlineStr">
        <is>
          <t>Grafana</t>
        </is>
      </c>
      <c r="B23" s="5" t="inlineStr">
        <is>
          <t>Real-time monitoring dashboard</t>
        </is>
      </c>
      <c r="C23" s="47" t="inlineStr">
        <is>
          <t>Open Source</t>
        </is>
      </c>
      <c r="D23" s="39" t="n">
        <v>0</v>
      </c>
      <c r="E23" s="22" t="inlineStr">
        <is>
          <t>Self-hosted</t>
        </is>
      </c>
    </row>
    <row r="24">
      <c r="A24" s="23" t="inlineStr">
        <is>
          <t>Docker / Kubernetes</t>
        </is>
      </c>
      <c r="B24" s="7" t="inlineStr">
        <is>
          <t>Container orchestration for agent sandboxing</t>
        </is>
      </c>
      <c r="C24" s="47" t="inlineStr">
        <is>
          <t>Open Source</t>
        </is>
      </c>
      <c r="D24" s="39" t="n">
        <v>0</v>
      </c>
      <c r="E24" s="14" t="inlineStr">
        <is>
          <t>Rancher Desktop or K3s</t>
        </is>
      </c>
    </row>
    <row r="25">
      <c r="A25" s="18" t="inlineStr">
        <is>
          <t>Azure OpenAI (Tier 2)</t>
        </is>
      </c>
      <c r="B25" s="5" t="inlineStr">
        <is>
          <t>Private cloud LLM for INTERNAL data (EU region)</t>
        </is>
      </c>
      <c r="C25" s="48" t="inlineStr">
        <is>
          <t>Pay-per-token</t>
        </is>
      </c>
      <c r="D25" s="49" t="n">
        <v>24000</v>
      </c>
      <c r="E25" s="22" t="inlineStr">
        <is>
          <t>~€2K/month for moderate usage</t>
        </is>
      </c>
    </row>
    <row r="26">
      <c r="A26" s="23" t="inlineStr">
        <is>
          <t>ElevenLabs</t>
        </is>
      </c>
      <c r="B26" s="7" t="inlineStr">
        <is>
          <t>Voice AI for conversational agent interface</t>
        </is>
      </c>
      <c r="C26" s="48" t="inlineStr">
        <is>
          <t>API subscription</t>
        </is>
      </c>
      <c r="D26" s="49" t="n">
        <v>1800</v>
      </c>
      <c r="E26" s="14" t="inlineStr">
        <is>
          <t>Professional plan ~€150/month</t>
        </is>
      </c>
    </row>
    <row r="27">
      <c r="A27" s="18" t="inlineStr">
        <is>
          <t>Power BI / Tableau</t>
        </is>
      </c>
      <c r="B27" s="5" t="inlineStr">
        <is>
          <t>Dashboard and reporting for value measurement</t>
        </is>
      </c>
      <c r="C27" s="48" t="inlineStr">
        <is>
          <t>Existing licence</t>
        </is>
      </c>
      <c r="D27" s="39" t="n">
        <v>0</v>
      </c>
      <c r="E27" s="22" t="inlineStr">
        <is>
          <t>Use existing Statkraft licence</t>
        </is>
      </c>
    </row>
    <row r="28">
      <c r="A28" s="23" t="inlineStr">
        <is>
          <t>Maintenance / IT FTE</t>
        </is>
      </c>
      <c r="B28" s="7" t="inlineStr">
        <is>
          <t>0.5 FTE internal IT support for AI infrastructure</t>
        </is>
      </c>
      <c r="C28" s="48" t="inlineStr">
        <is>
          <t>Internal</t>
        </is>
      </c>
      <c r="D28" s="49" t="n">
        <v>60000</v>
      </c>
      <c r="E28" s="14" t="inlineStr">
        <is>
          <t>0.5 × €120K fully loaded FTE</t>
        </is>
      </c>
    </row>
    <row r="29">
      <c r="A29" s="25" t="inlineStr">
        <is>
          <t>ANNUAL SOFTWARE / OPEX TOTAL</t>
        </is>
      </c>
      <c r="D29" s="46">
        <f>SUM(D17:D28)</f>
        <v/>
      </c>
    </row>
    <row r="31">
      <c r="A31" s="17" t="inlineStr">
        <is>
          <t xml:space="preserve">  TOTAL COST OF OWNERSHIP SUMMARY</t>
        </is>
      </c>
    </row>
    <row r="32">
      <c r="A32" s="50" t="inlineStr">
        <is>
          <t>Year 1 CAPEX (hardware)</t>
        </is>
      </c>
      <c r="B32" s="51" t="n"/>
      <c r="C32" s="51" t="n"/>
      <c r="D32" s="52" t="n"/>
      <c r="E32" s="53">
        <f>E13</f>
        <v/>
      </c>
      <c r="F32" s="22" t="inlineStr">
        <is>
          <t>One-time hardware investment</t>
        </is>
      </c>
    </row>
    <row r="33">
      <c r="A33" s="54" t="inlineStr">
        <is>
          <t>Year 1 OPEX (software + IT)</t>
        </is>
      </c>
      <c r="B33" s="51" t="n"/>
      <c r="C33" s="51" t="n"/>
      <c r="D33" s="52" t="n"/>
      <c r="E33" s="55">
        <f>D29</f>
        <v/>
      </c>
      <c r="F33" s="14" t="inlineStr">
        <is>
          <t>Annual running costs</t>
        </is>
      </c>
    </row>
    <row r="34">
      <c r="A34" s="56" t="inlineStr">
        <is>
          <t>Year 1 TOTAL INVESTMENT</t>
        </is>
      </c>
      <c r="B34" s="51" t="n"/>
      <c r="C34" s="51" t="n"/>
      <c r="D34" s="52" t="n"/>
      <c r="E34" s="46">
        <f>E32+E33</f>
        <v/>
      </c>
    </row>
    <row r="35">
      <c r="A35" s="54" t="inlineStr">
        <is>
          <t>Year 2+ annual cost</t>
        </is>
      </c>
      <c r="B35" s="51" t="n"/>
      <c r="C35" s="51" t="n"/>
      <c r="D35" s="52" t="n"/>
      <c r="E35" s="55">
        <f>D29+F13*0.15</f>
        <v/>
      </c>
      <c r="F35" s="14" t="inlineStr">
        <is>
          <t>Maintenance + OPEX only</t>
        </is>
      </c>
    </row>
    <row r="36">
      <c r="A36" s="56" t="inlineStr">
        <is>
          <t>3-Year Total Cost of Ownership</t>
        </is>
      </c>
      <c r="B36" s="51" t="n"/>
      <c r="C36" s="51" t="n"/>
      <c r="D36" s="52" t="n"/>
      <c r="E36" s="46">
        <f>E34+(E35*2)</f>
        <v/>
      </c>
    </row>
    <row r="37">
      <c r="A37" s="54" t="inlineStr">
        <is>
          <t>Estimated Annual Value (from Value Calculator)</t>
        </is>
      </c>
      <c r="B37" s="51" t="n"/>
      <c r="C37" s="51" t="n"/>
      <c r="D37" s="52" t="n"/>
      <c r="E37" s="21">
        <f>'💰 Value Calculator'!E26</f>
        <v/>
      </c>
    </row>
    <row r="38">
      <c r="A38" s="56" t="inlineStr">
        <is>
          <t>3-Year Net ROI</t>
        </is>
      </c>
      <c r="B38" s="51" t="n"/>
      <c r="C38" s="51" t="n"/>
      <c r="D38" s="52" t="n"/>
      <c r="E38" s="57">
        <f>'💰 Value Calculator'!E26*3-E36</f>
        <v/>
      </c>
    </row>
  </sheetData>
  <mergeCells count="10">
    <mergeCell ref="A37:D37"/>
    <mergeCell ref="A34:D34"/>
    <mergeCell ref="A35:D35"/>
    <mergeCell ref="A38:D38"/>
    <mergeCell ref="A1:I2"/>
    <mergeCell ref="A33:D33"/>
    <mergeCell ref="A29:C29"/>
    <mergeCell ref="A36:D36"/>
    <mergeCell ref="A32:D3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2026-03-17T23:17:45Z</dcterms:created>
  <dcterms:modified xmlns:dcterms="http://purl.org/dc/terms/" xmlns:xsi="http://www.w3.org/2001/XMLSchema-instance" xsi:type="dcterms:W3CDTF">2026-03-17T23:17:45Z</dcterms:modified>
</cp:coreProperties>
</file>