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Financial Calculator" sheetId="3" state="visible" r:id="rId3"/>
    <sheet xmlns:r="http://schemas.openxmlformats.org/officeDocument/2006/relationships" name="MCDM Scoring" sheetId="4" state="visible" r:id="rId4"/>
    <sheet xmlns:r="http://schemas.openxmlformats.org/officeDocument/2006/relationships" name="Compone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  <color rgb="00002147"/>
      <sz val="14"/>
    </font>
    <font>
      <b val="1"/>
      <color rgb="00002147"/>
      <sz val="12"/>
    </font>
    <font>
      <b val="1"/>
      <color rgb="00FFFFFF"/>
    </font>
    <font>
      <b val="1"/>
    </font>
    <font>
      <b val="1"/>
      <sz val="10"/>
    </font>
    <font>
      <b val="1"/>
      <color rgb="0048BB78"/>
    </font>
    <font>
      <b val="1"/>
      <color rgb="00E53E3E"/>
    </font>
    <font>
      <b val="1"/>
      <color rgb="00ED8936"/>
    </font>
  </fonts>
  <fills count="4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D6EAF8"/>
        <bgColor rgb="00D6EAF8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3">
    <xf numFmtId="0" fontId="0" fillId="0" borderId="0"/>
    <xf numFmtId="0" fontId="1" fillId="2" borderId="1" applyAlignment="1">
      <alignment horizontal="center" vertical="center" wrapText="1"/>
    </xf>
    <xf numFmtId="0" fontId="2" fillId="3" borderId="1"/>
  </cellStyleXfs>
  <cellXfs count="3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2" applyAlignment="1" pivotButton="0" quotePrefix="0" xfId="1">
      <alignment horizontal="center" vertical="center" wrapText="1"/>
    </xf>
    <xf numFmtId="0" fontId="0" fillId="0" borderId="2" pivotButton="0" quotePrefix="0" xfId="0"/>
    <xf numFmtId="0" fontId="2" fillId="3" borderId="2" pivotButton="0" quotePrefix="0" xfId="2"/>
    <xf numFmtId="9" fontId="0" fillId="0" borderId="2" pivotButton="0" quotePrefix="0" xfId="0"/>
    <xf numFmtId="9" fontId="2" fillId="3" borderId="2" pivotButton="0" quotePrefix="0" xfId="2"/>
    <xf numFmtId="0" fontId="5" fillId="2" borderId="2" applyAlignment="1" pivotButton="0" quotePrefix="0" xfId="0">
      <alignment horizontal="center" vertical="center"/>
    </xf>
    <xf numFmtId="0" fontId="0" fillId="3" borderId="2" pivotButton="0" quotePrefix="0" xfId="0"/>
    <xf numFmtId="3" fontId="0" fillId="0" borderId="2" pivotButton="0" quotePrefix="0" xfId="0"/>
    <xf numFmtId="3" fontId="0" fillId="3" borderId="2" pivotButton="0" quotePrefix="0" xfId="0"/>
    <xf numFmtId="164" fontId="0" fillId="0" borderId="2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2" applyAlignment="1" pivotButton="0" quotePrefix="0" xfId="0">
      <alignment horizontal="center" vertical="center" wrapText="1"/>
    </xf>
    <xf numFmtId="9" fontId="0" fillId="3" borderId="2" pivotButton="0" quotePrefix="0" xfId="0"/>
    <xf numFmtId="0" fontId="6" fillId="3" borderId="2" pivotButton="0" quotePrefix="0" xfId="0"/>
    <xf numFmtId="164" fontId="0" fillId="3" borderId="2" pivotButton="0" quotePrefix="0" xfId="0"/>
    <xf numFmtId="0" fontId="7" fillId="0" borderId="0" pivotButton="0" quotePrefix="0" xfId="0"/>
    <xf numFmtId="2" fontId="0" fillId="0" borderId="2" pivotButton="0" quotePrefix="0" xfId="0"/>
    <xf numFmtId="2" fontId="0" fillId="3" borderId="2" pivotButton="0" quotePrefix="0" xfId="0"/>
    <xf numFmtId="0" fontId="5" fillId="2" borderId="2" applyAlignment="1" pivotButton="0" quotePrefix="0" xfId="0">
      <alignment horizontal="center"/>
    </xf>
    <xf numFmtId="0" fontId="8" fillId="0" borderId="0" pivotButton="0" quotePrefix="0" xfId="0"/>
    <xf numFmtId="165" fontId="0" fillId="3" borderId="2" pivotButton="0" quotePrefix="0" xfId="0"/>
    <xf numFmtId="165" fontId="0" fillId="0" borderId="2" pivotButton="0" quotePrefix="0" xfId="0"/>
    <xf numFmtId="0" fontId="6" fillId="0" borderId="2" pivotButton="0" quotePrefix="0" xfId="0"/>
    <xf numFmtId="165" fontId="6" fillId="0" borderId="2" pivotButton="0" quotePrefix="0" xfId="0"/>
    <xf numFmtId="165" fontId="8" fillId="3" borderId="2" pivotButton="0" quotePrefix="0" xfId="0"/>
    <xf numFmtId="9" fontId="6" fillId="3" borderId="2" pivotButton="0" quotePrefix="0" xfId="0"/>
    <xf numFmtId="0" fontId="9" fillId="0" borderId="2" pivotButton="0" quotePrefix="0" xfId="0"/>
    <xf numFmtId="0" fontId="10" fillId="3" borderId="2" pivotButton="0" quotePrefix="0" xfId="0"/>
    <xf numFmtId="0" fontId="8" fillId="3" borderId="2" pivotButton="0" quotePrefix="0" xfId="0"/>
    <xf numFmtId="0" fontId="10" fillId="0" borderId="2" pivotButton="0" quotePrefix="0" xfId="0"/>
  </cellXfs>
  <cellStyles count="3">
    <cellStyle name="Normal" xfId="0" builtinId="0" hidden="0"/>
    <cellStyle name="navy_header" xfId="1" hidden="0"/>
    <cellStyle name="light_blue_row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17</row>
      <rowOff>0</rowOff>
    </from>
    <ext cx="3429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5334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21</row>
      <rowOff>0</rowOff>
    </from>
    <ext cx="4572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2</row>
      <rowOff>0</rowOff>
    </from>
    <ext cx="4572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24</row>
      <rowOff>0</rowOff>
    </from>
    <ext cx="3810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4000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5143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0" customWidth="1" min="4" max="4"/>
  </cols>
  <sheetData>
    <row r="1">
      <c r="A1" s="1" t="inlineStr">
        <is>
          <t>CATEGORY STRATEGY - INPUT ASSUMPTIONS</t>
        </is>
      </c>
    </row>
    <row r="3">
      <c r="A3" s="2" t="inlineStr">
        <is>
          <t>CLIENT INFORMATION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  <c r="D4" s="4" t="n"/>
    </row>
    <row r="5">
      <c r="A5" s="4" t="inlineStr">
        <is>
          <t>Client Name</t>
        </is>
      </c>
      <c r="B5" s="4" t="inlineStr">
        <is>
          <t>[Enter Client Name]</t>
        </is>
      </c>
      <c r="C5" s="4" t="inlineStr">
        <is>
          <t>e.g., Statkraft AS</t>
        </is>
      </c>
      <c r="D5" s="4" t="n"/>
    </row>
    <row r="6">
      <c r="A6" s="5" t="inlineStr">
        <is>
          <t>Category Name</t>
        </is>
      </c>
      <c r="B6" s="5" t="inlineStr">
        <is>
          <t>[Enter Category]</t>
        </is>
      </c>
      <c r="C6" s="5" t="inlineStr">
        <is>
          <t>e.g., High Voltage Electrical Equipment</t>
        </is>
      </c>
      <c r="D6" s="4" t="n"/>
    </row>
    <row r="7">
      <c r="A7" s="4" t="inlineStr">
        <is>
          <t>Annual Spend (€)</t>
        </is>
      </c>
      <c r="B7" s="4" t="inlineStr">
        <is>
          <t>[Enter Amount]</t>
        </is>
      </c>
      <c r="C7" s="4" t="inlineStr">
        <is>
          <t>e.g., 15,000,000</t>
        </is>
      </c>
      <c r="D7" s="4" t="n"/>
    </row>
    <row r="8">
      <c r="A8" s="5" t="inlineStr">
        <is>
          <t>Currency</t>
        </is>
      </c>
      <c r="B8" s="5" t="inlineStr">
        <is>
          <t>EUR</t>
        </is>
      </c>
      <c r="C8" s="5" t="inlineStr">
        <is>
          <t>EUR/USD/GBP/NOK</t>
        </is>
      </c>
      <c r="D8" s="4" t="n"/>
    </row>
    <row r="9">
      <c r="A9" s="4" t="inlineStr">
        <is>
          <t>Analysis Date</t>
        </is>
      </c>
      <c r="B9" s="4" t="inlineStr">
        <is>
          <t>[Enter Date]</t>
        </is>
      </c>
      <c r="C9" s="4" t="inlineStr">
        <is>
          <t>e.g., 2026-03-15</t>
        </is>
      </c>
      <c r="D9" s="4" t="n"/>
    </row>
    <row r="10">
      <c r="A10" s="5" t="inlineStr">
        <is>
          <t>Timeline Constraint</t>
        </is>
      </c>
      <c r="B10" s="5" t="inlineStr">
        <is>
          <t>[Enter Constraint]</t>
        </is>
      </c>
      <c r="C10" s="5" t="inlineStr">
        <is>
          <t>e.g., DG2 gate in 6 months</t>
        </is>
      </c>
      <c r="D10" s="4" t="n"/>
    </row>
    <row r="11">
      <c r="A11" s="4" t="inlineStr">
        <is>
          <t>Tier Selection</t>
        </is>
      </c>
      <c r="B11" s="4" t="inlineStr">
        <is>
          <t>Full</t>
        </is>
      </c>
      <c r="C11" s="4" t="inlineStr">
        <is>
          <t>Full / Bundle / Partner</t>
        </is>
      </c>
      <c r="D11" s="4" t="n"/>
    </row>
    <row r="13">
      <c r="A13" s="2" t="inlineStr">
        <is>
          <t>INCUMBENT SUPPLIERS</t>
        </is>
      </c>
    </row>
    <row r="14">
      <c r="A14" s="3" t="inlineStr">
        <is>
          <t>Supplier Name</t>
        </is>
      </c>
      <c r="B14" s="3" t="inlineStr">
        <is>
          <t>Relationship Length</t>
        </is>
      </c>
      <c r="C14" s="3" t="inlineStr">
        <is>
          <t>Annual Spend (€)</t>
        </is>
      </c>
      <c r="D14" s="3" t="inlineStr">
        <is>
          <t>Notes</t>
        </is>
      </c>
    </row>
    <row r="15">
      <c r="A15" s="5" t="inlineStr">
        <is>
          <t>[Supplier 1]</t>
        </is>
      </c>
      <c r="B15" s="5" t="inlineStr">
        <is>
          <t>[Years]</t>
        </is>
      </c>
      <c r="C15" s="5" t="inlineStr">
        <is>
          <t>[Amount]</t>
        </is>
      </c>
      <c r="D15" s="5" t="inlineStr">
        <is>
          <t>[Notes]</t>
        </is>
      </c>
    </row>
    <row r="16">
      <c r="A16" s="4" t="inlineStr">
        <is>
          <t>[Supplier 2]</t>
        </is>
      </c>
      <c r="B16" s="4" t="inlineStr">
        <is>
          <t>[Years]</t>
        </is>
      </c>
      <c r="C16" s="4" t="inlineStr">
        <is>
          <t>[Amount]</t>
        </is>
      </c>
      <c r="D16" s="4" t="inlineStr">
        <is>
          <t>[Notes]</t>
        </is>
      </c>
    </row>
    <row r="17">
      <c r="A17" s="5" t="inlineStr">
        <is>
          <t>[Supplier 3]</t>
        </is>
      </c>
      <c r="B17" s="5" t="inlineStr">
        <is>
          <t>[Years]</t>
        </is>
      </c>
      <c r="C17" s="5" t="inlineStr">
        <is>
          <t>[Amount]</t>
        </is>
      </c>
      <c r="D17" s="5" t="inlineStr">
        <is>
          <t>[Notes]</t>
        </is>
      </c>
    </row>
    <row r="19">
      <c r="A19" s="2" t="inlineStr">
        <is>
          <t>KEY PAIN POINTS</t>
        </is>
      </c>
    </row>
    <row r="20">
      <c r="A20" s="3" t="inlineStr">
        <is>
          <t>Pain Point</t>
        </is>
      </c>
      <c r="B20" s="3" t="inlineStr">
        <is>
          <t>Impact (€/yr)</t>
        </is>
      </c>
      <c r="C20" s="3" t="inlineStr">
        <is>
          <t>Frequency</t>
        </is>
      </c>
      <c r="D20" s="3" t="inlineStr">
        <is>
          <t>Notes</t>
        </is>
      </c>
    </row>
    <row r="21">
      <c r="A21" s="4" t="inlineStr">
        <is>
          <t>[Pain Point 1]</t>
        </is>
      </c>
      <c r="B21" s="4" t="inlineStr">
        <is>
          <t>[Impact]</t>
        </is>
      </c>
      <c r="C21" s="4" t="inlineStr">
        <is>
          <t>[Freq]</t>
        </is>
      </c>
      <c r="D21" s="4" t="inlineStr">
        <is>
          <t>[Notes]</t>
        </is>
      </c>
    </row>
    <row r="22">
      <c r="A22" s="5" t="inlineStr">
        <is>
          <t>[Pain Point 2]</t>
        </is>
      </c>
      <c r="B22" s="5" t="inlineStr">
        <is>
          <t>[Impact]</t>
        </is>
      </c>
      <c r="C22" s="5" t="inlineStr">
        <is>
          <t>[Freq]</t>
        </is>
      </c>
      <c r="D22" s="5" t="inlineStr">
        <is>
          <t>[Notes]</t>
        </is>
      </c>
    </row>
    <row r="23">
      <c r="A23" s="4" t="inlineStr">
        <is>
          <t>[Pain Point 3]</t>
        </is>
      </c>
      <c r="B23" s="4" t="inlineStr">
        <is>
          <t>[Impact]</t>
        </is>
      </c>
      <c r="C23" s="4" t="inlineStr">
        <is>
          <t>[Freq]</t>
        </is>
      </c>
      <c r="D23" s="4" t="inlineStr">
        <is>
          <t>[Notes]</t>
        </is>
      </c>
    </row>
    <row r="25">
      <c r="A25" s="2" t="inlineStr">
        <is>
          <t>STRATEGIC PRIORITIES</t>
        </is>
      </c>
    </row>
    <row r="26">
      <c r="A26" s="3" t="inlineStr">
        <is>
          <t>Priority</t>
        </is>
      </c>
      <c r="B26" s="3" t="inlineStr">
        <is>
          <t>Weight %</t>
        </is>
      </c>
      <c r="C26" s="3" t="inlineStr">
        <is>
          <t>Target Outcome</t>
        </is>
      </c>
      <c r="D26" s="3" t="inlineStr">
        <is>
          <t>Notes</t>
        </is>
      </c>
    </row>
    <row r="27">
      <c r="A27" s="4" t="inlineStr">
        <is>
          <t>[Priority 1]</t>
        </is>
      </c>
      <c r="B27" s="4" t="inlineStr">
        <is>
          <t>[%]</t>
        </is>
      </c>
      <c r="C27" s="4" t="inlineStr">
        <is>
          <t>[Outcome]</t>
        </is>
      </c>
      <c r="D27" s="4" t="inlineStr">
        <is>
          <t>[Notes]</t>
        </is>
      </c>
    </row>
    <row r="28">
      <c r="A28" s="5" t="inlineStr">
        <is>
          <t>[Priority 2]</t>
        </is>
      </c>
      <c r="B28" s="5" t="inlineStr">
        <is>
          <t>[%]</t>
        </is>
      </c>
      <c r="C28" s="5" t="inlineStr">
        <is>
          <t>[Outcome]</t>
        </is>
      </c>
      <c r="D28" s="5" t="inlineStr">
        <is>
          <t>[Notes]</t>
        </is>
      </c>
    </row>
    <row r="29">
      <c r="A29" s="4" t="inlineStr">
        <is>
          <t>[Priority 3]</t>
        </is>
      </c>
      <c r="B29" s="4" t="inlineStr">
        <is>
          <t>[%]</t>
        </is>
      </c>
      <c r="C29" s="4" t="inlineStr">
        <is>
          <t>[Outcome]</t>
        </is>
      </c>
      <c r="D29" s="4" t="inlineStr">
        <is>
          <t>[Notes]</t>
        </is>
      </c>
    </row>
    <row r="31">
      <c r="A31" s="2" t="inlineStr">
        <is>
          <t>EVALUATION CRITERIA (AHP WEIGHTS)</t>
        </is>
      </c>
    </row>
    <row r="32">
      <c r="A32" s="3" t="inlineStr">
        <is>
          <t>Criterion</t>
        </is>
      </c>
      <c r="B32" s="3" t="inlineStr">
        <is>
          <t>Weight %</t>
        </is>
      </c>
      <c r="C32" s="3" t="inlineStr">
        <is>
          <t>Rationale</t>
        </is>
      </c>
      <c r="D32" s="3" t="inlineStr">
        <is>
          <t>Customizable</t>
        </is>
      </c>
    </row>
    <row r="33">
      <c r="A33" s="4" t="inlineStr">
        <is>
          <t>Cost Reduction</t>
        </is>
      </c>
      <c r="B33" s="6" t="n">
        <v>30</v>
      </c>
      <c r="C33" s="4" t="inlineStr">
        <is>
          <t>TCO, unit price, lifecycle cost</t>
        </is>
      </c>
      <c r="D33" s="4" t="inlineStr">
        <is>
          <t>Yes</t>
        </is>
      </c>
    </row>
    <row r="34">
      <c r="A34" s="5" t="inlineStr">
        <is>
          <t>Supply Resilience</t>
        </is>
      </c>
      <c r="B34" s="7" t="n">
        <v>25</v>
      </c>
      <c r="C34" s="5" t="inlineStr">
        <is>
          <t>Lead time, supply security, dual-source</t>
        </is>
      </c>
      <c r="D34" s="5" t="inlineStr">
        <is>
          <t>Yes</t>
        </is>
      </c>
    </row>
    <row r="35">
      <c r="A35" s="4" t="inlineStr">
        <is>
          <t>Risk Reduction</t>
        </is>
      </c>
      <c r="B35" s="6" t="n">
        <v>20</v>
      </c>
      <c r="C35" s="4" t="inlineStr">
        <is>
          <t>Financial, geopolitical, ESG, concentration</t>
        </is>
      </c>
      <c r="D35" s="4" t="inlineStr">
        <is>
          <t>Yes</t>
        </is>
      </c>
    </row>
    <row r="36">
      <c r="A36" s="5" t="inlineStr">
        <is>
          <t>Strategic Alignment</t>
        </is>
      </c>
      <c r="B36" s="7" t="n">
        <v>15</v>
      </c>
      <c r="C36" s="5" t="inlineStr">
        <is>
          <t>Partnership depth, innovation, ESG goals</t>
        </is>
      </c>
      <c r="D36" s="5" t="inlineStr">
        <is>
          <t>Yes</t>
        </is>
      </c>
    </row>
    <row r="37">
      <c r="A37" s="4" t="inlineStr">
        <is>
          <t>Implementation Ease</t>
        </is>
      </c>
      <c r="B37" s="6" t="n">
        <v>10</v>
      </c>
      <c r="C37" s="4" t="inlineStr">
        <is>
          <t>Speed to implement, change burden</t>
        </is>
      </c>
      <c r="D37" s="4" t="inlineStr">
        <is>
          <t>Yes</t>
        </is>
      </c>
    </row>
  </sheetData>
  <mergeCells count="6">
    <mergeCell ref="A1:D1"/>
    <mergeCell ref="A31:D31"/>
    <mergeCell ref="A3:D3"/>
    <mergeCell ref="A25:D25"/>
    <mergeCell ref="A19:D19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EXECUTIVE DASHBOARD</t>
        </is>
      </c>
    </row>
    <row r="3">
      <c r="A3" s="2" t="inlineStr">
        <is>
          <t>KEY PERFORMANCE INDICATORS</t>
        </is>
      </c>
    </row>
    <row r="4">
      <c r="A4" s="8" t="inlineStr">
        <is>
          <t>Metric</t>
        </is>
      </c>
      <c r="B4" s="8" t="inlineStr">
        <is>
          <t>Value</t>
        </is>
      </c>
      <c r="C4" s="8" t="inlineStr">
        <is>
          <t>Unit</t>
        </is>
      </c>
      <c r="D4" s="8" t="inlineStr">
        <is>
          <t>Benchmark</t>
        </is>
      </c>
      <c r="E4" s="8" t="inlineStr">
        <is>
          <t>Status</t>
        </is>
      </c>
    </row>
    <row r="5">
      <c r="A5" s="4" t="inlineStr">
        <is>
          <t>Category</t>
        </is>
      </c>
      <c r="B5" s="4" t="inlineStr">
        <is>
          <t>High Voltage Electrical Equipment</t>
        </is>
      </c>
      <c r="C5" s="4" t="inlineStr"/>
      <c r="D5" s="4" t="inlineStr"/>
      <c r="E5" s="4" t="inlineStr"/>
    </row>
    <row r="6">
      <c r="A6" s="9" t="inlineStr">
        <is>
          <t>Recommended Strategy</t>
        </is>
      </c>
      <c r="B6" s="9" t="inlineStr">
        <is>
          <t>Dual Source with Framework</t>
        </is>
      </c>
      <c r="C6" s="9" t="inlineStr"/>
      <c r="D6" s="9" t="inlineStr"/>
      <c r="E6" s="9" t="inlineStr"/>
    </row>
    <row r="7">
      <c r="A7" s="4" t="inlineStr">
        <is>
          <t>Overall Annual Value</t>
        </is>
      </c>
      <c r="B7" s="10" t="n">
        <v>55600000</v>
      </c>
      <c r="C7" s="4" t="inlineStr">
        <is>
          <t>€</t>
        </is>
      </c>
      <c r="D7" s="4" t="inlineStr">
        <is>
          <t>€15M spend base</t>
        </is>
      </c>
      <c r="E7" s="4" t="inlineStr">
        <is>
          <t>✓</t>
        </is>
      </c>
    </row>
    <row r="8">
      <c r="A8" s="9" t="inlineStr">
        <is>
          <t>ROI</t>
        </is>
      </c>
      <c r="B8" s="11" t="n">
        <v>90</v>
      </c>
      <c r="C8" s="9" t="inlineStr">
        <is>
          <t>:1</t>
        </is>
      </c>
      <c r="D8" s="9" t="inlineStr">
        <is>
          <t>3:1 typical</t>
        </is>
      </c>
      <c r="E8" s="9" t="inlineStr">
        <is>
          <t>✓</t>
        </is>
      </c>
    </row>
    <row r="9">
      <c r="A9" s="4" t="inlineStr">
        <is>
          <t>Payback Period</t>
        </is>
      </c>
      <c r="B9" s="10" t="n">
        <v>0.5</v>
      </c>
      <c r="C9" s="4" t="inlineStr">
        <is>
          <t>months</t>
        </is>
      </c>
      <c r="D9" s="4" t="inlineStr">
        <is>
          <t>&lt;6 months</t>
        </is>
      </c>
      <c r="E9" s="4" t="inlineStr">
        <is>
          <t>✓</t>
        </is>
      </c>
    </row>
    <row r="10">
      <c r="A10" s="9" t="inlineStr">
        <is>
          <t>NPV (5-year)</t>
        </is>
      </c>
      <c r="B10" s="11" t="n">
        <v>222000000</v>
      </c>
      <c r="C10" s="9" t="inlineStr">
        <is>
          <t>€</t>
        </is>
      </c>
      <c r="D10" s="9" t="inlineStr"/>
      <c r="E10" s="9" t="inlineStr">
        <is>
          <t>✓</t>
        </is>
      </c>
    </row>
    <row r="12">
      <c r="A12" s="2" t="inlineStr">
        <is>
          <t>SCENARIO COMPARISON</t>
        </is>
      </c>
    </row>
    <row r="13">
      <c r="A13" s="8" t="inlineStr">
        <is>
          <t>Metric</t>
        </is>
      </c>
      <c r="B13" s="8" t="inlineStr">
        <is>
          <t>Bear (70%)</t>
        </is>
      </c>
      <c r="C13" s="8" t="inlineStr">
        <is>
          <t>Base (100%)</t>
        </is>
      </c>
      <c r="D13" s="8" t="inlineStr">
        <is>
          <t>Bull (130%)</t>
        </is>
      </c>
      <c r="E13" s="8" t="inlineStr">
        <is>
          <t>Variance</t>
        </is>
      </c>
    </row>
    <row r="14">
      <c r="A14" s="9" t="inlineStr">
        <is>
          <t>Annual Value</t>
        </is>
      </c>
      <c r="B14" s="11" t="n">
        <v>38920000</v>
      </c>
      <c r="C14" s="11" t="n">
        <v>55600000</v>
      </c>
      <c r="D14" s="11" t="n">
        <v>72280000</v>
      </c>
      <c r="E14" s="9" t="inlineStr">
        <is>
          <t>+85% Bear→Bull</t>
        </is>
      </c>
    </row>
    <row r="15">
      <c r="A15" s="4" t="inlineStr">
        <is>
          <t>Programme Cost</t>
        </is>
      </c>
      <c r="B15" s="10" t="n">
        <v>600000</v>
      </c>
      <c r="C15" s="10" t="n">
        <v>600000</v>
      </c>
      <c r="D15" s="10" t="n">
        <v>600000</v>
      </c>
      <c r="E15" s="4" t="inlineStr">
        <is>
          <t>Fixed</t>
        </is>
      </c>
    </row>
    <row r="16">
      <c r="A16" s="9" t="inlineStr">
        <is>
          <t>Net Annual Value</t>
        </is>
      </c>
      <c r="B16" s="11" t="n">
        <v>38320000</v>
      </c>
      <c r="C16" s="11" t="n">
        <v>55000000</v>
      </c>
      <c r="D16" s="11" t="n">
        <v>71680000</v>
      </c>
      <c r="E16" s="9" t="inlineStr">
        <is>
          <t>+87%</t>
        </is>
      </c>
    </row>
    <row r="17">
      <c r="A17" s="4" t="inlineStr">
        <is>
          <t>ROI</t>
        </is>
      </c>
      <c r="B17" s="12" t="n">
        <v>64.90000000000001</v>
      </c>
      <c r="C17" s="12" t="n">
        <v>91.7</v>
      </c>
      <c r="D17" s="12" t="n">
        <v>120.5</v>
      </c>
      <c r="E17" s="4" t="inlineStr">
        <is>
          <t>:1</t>
        </is>
      </c>
    </row>
    <row r="18">
      <c r="A18" s="9" t="inlineStr">
        <is>
          <t>NPV (5yr, 8%)</t>
        </is>
      </c>
      <c r="B18" s="9" t="n">
        <v>153000000</v>
      </c>
      <c r="C18" s="9" t="n">
        <v>222000000</v>
      </c>
      <c r="D18" s="9" t="n">
        <v>289000000</v>
      </c>
      <c r="E18" s="9" t="inlineStr">
        <is>
          <t>€</t>
        </is>
      </c>
    </row>
    <row r="20">
      <c r="A20" s="2" t="inlineStr">
        <is>
          <t>RECOMMENDATION</t>
        </is>
      </c>
    </row>
    <row r="21">
      <c r="A21" s="13" t="inlineStr">
        <is>
          <t>Strategy</t>
        </is>
      </c>
      <c r="B21" t="inlineStr">
        <is>
          <t>Dual Source with Framework Agreement</t>
        </is>
      </c>
    </row>
    <row r="22" ht="40" customHeight="1">
      <c r="A22" s="13" t="inlineStr">
        <is>
          <t>Rationale</t>
        </is>
      </c>
      <c r="B22" s="14" t="inlineStr">
        <is>
          <t>Balances cost reduction through competition with supply resilience through dual-sourcing. Framework provides price certainty and reduces transaction costs.</t>
        </is>
      </c>
    </row>
    <row r="23" ht="50" customHeight="1">
      <c r="A23" s="13" t="inlineStr">
        <is>
          <t>Key Conditions</t>
        </is>
      </c>
      <c r="B23" s="14" t="inlineStr">
        <is>
          <t>1) Minimum volume commitment of €5M/yr per supplier 2) 6-month implementation timeline 3) Executive sponsorship for change management</t>
        </is>
      </c>
    </row>
  </sheetData>
  <mergeCells count="7">
    <mergeCell ref="B21:F21"/>
    <mergeCell ref="A1:F1"/>
    <mergeCell ref="B23:F23"/>
    <mergeCell ref="A12:F12"/>
    <mergeCell ref="B22:F22"/>
    <mergeCell ref="A3:F3"/>
    <mergeCell ref="A20:F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14" customWidth="1" min="4" max="4"/>
    <col width="18" customWidth="1" min="5" max="5"/>
  </cols>
  <sheetData>
    <row r="1">
      <c r="A1" s="1" t="inlineStr">
        <is>
          <t>FINANCIAL CALCULATOR</t>
        </is>
      </c>
    </row>
    <row r="3">
      <c r="A3" s="2" t="inlineStr">
        <is>
          <t>VALUE STREAMS</t>
        </is>
      </c>
    </row>
    <row r="4">
      <c r="A4" s="15" t="inlineStr">
        <is>
          <t>Value Stream</t>
        </is>
      </c>
      <c r="B4" s="15" t="inlineStr">
        <is>
          <t>Description</t>
        </is>
      </c>
      <c r="C4" s="15" t="inlineStr">
        <is>
          <t>Annual Value (€)</t>
        </is>
      </c>
      <c r="D4" s="15" t="inlineStr">
        <is>
          <t>Confidence %</t>
        </is>
      </c>
      <c r="E4" s="15" t="inlineStr">
        <is>
          <t>Weighted Value (€)</t>
        </is>
      </c>
    </row>
    <row r="5">
      <c r="A5" s="4" t="inlineStr">
        <is>
          <t>Cost Reduction</t>
        </is>
      </c>
      <c r="B5" s="4" t="inlineStr">
        <is>
          <t>Price negotiation, volume discounts, TCO optimization</t>
        </is>
      </c>
      <c r="C5" s="10" t="n">
        <v>12500000</v>
      </c>
      <c r="D5" s="6" t="n">
        <v>0.75</v>
      </c>
      <c r="E5" s="4">
        <f>C5*D5</f>
        <v/>
      </c>
    </row>
    <row r="6">
      <c r="A6" s="9" t="inlineStr">
        <is>
          <t>Delay Avoidance</t>
        </is>
      </c>
      <c r="B6" s="9" t="inlineStr">
        <is>
          <t>Project schedule protection, liquidated damages avoided</t>
        </is>
      </c>
      <c r="C6" s="11" t="n">
        <v>35000000</v>
      </c>
      <c r="D6" s="16" t="n">
        <v>0.65</v>
      </c>
      <c r="E6" s="9">
        <f>C6*D6</f>
        <v/>
      </c>
    </row>
    <row r="7">
      <c r="A7" s="4" t="inlineStr">
        <is>
          <t>PPA Revenue</t>
        </is>
      </c>
      <c r="B7" s="4" t="inlineStr">
        <is>
          <t>Power purchase agreement optimization</t>
        </is>
      </c>
      <c r="C7" s="10" t="n">
        <v>800000</v>
      </c>
      <c r="D7" s="6" t="n">
        <v>0.8</v>
      </c>
      <c r="E7" s="4">
        <f>C7*D7</f>
        <v/>
      </c>
    </row>
    <row r="8">
      <c r="A8" s="9" t="inlineStr">
        <is>
          <t>Risk Reduction</t>
        </is>
      </c>
      <c r="B8" s="9" t="inlineStr">
        <is>
          <t>Supply disruption mitigation, insurance cost reduction</t>
        </is>
      </c>
      <c r="C8" s="11" t="n">
        <v>4200000</v>
      </c>
      <c r="D8" s="16" t="n">
        <v>0.7</v>
      </c>
      <c r="E8" s="9">
        <f>C8*D8</f>
        <v/>
      </c>
    </row>
    <row r="9">
      <c r="A9" s="4" t="inlineStr">
        <is>
          <t>ESG Compliance</t>
        </is>
      </c>
      <c r="B9" s="4" t="inlineStr">
        <is>
          <t>CSRD alignment, carbon cost avoidance</t>
        </is>
      </c>
      <c r="C9" s="10" t="n">
        <v>1500000</v>
      </c>
      <c r="D9" s="6" t="n">
        <v>0.6</v>
      </c>
      <c r="E9" s="4">
        <f>C9*D9</f>
        <v/>
      </c>
    </row>
    <row r="10">
      <c r="A10" s="9" t="inlineStr">
        <is>
          <t>Working Capital</t>
        </is>
      </c>
      <c r="B10" s="9" t="inlineStr">
        <is>
          <t>Payment terms extension, inventory optimization</t>
        </is>
      </c>
      <c r="C10" s="11" t="n">
        <v>800000</v>
      </c>
      <c r="D10" s="16" t="n">
        <v>0.75</v>
      </c>
      <c r="E10" s="9">
        <f>C10*D10</f>
        <v/>
      </c>
    </row>
    <row r="11">
      <c r="A11" s="4" t="inlineStr">
        <is>
          <t>Quality/Performance</t>
        </is>
      </c>
      <c r="B11" s="4" t="inlineStr">
        <is>
          <t>Defect reduction, warranty cost avoidance</t>
        </is>
      </c>
      <c r="C11" s="10" t="n">
        <v>500000</v>
      </c>
      <c r="D11" s="6" t="n">
        <v>0.65</v>
      </c>
      <c r="E11" s="4">
        <f>C11*D11</f>
        <v/>
      </c>
    </row>
    <row r="12">
      <c r="A12" s="9" t="inlineStr">
        <is>
          <t>Innovation Access</t>
        </is>
      </c>
      <c r="B12" s="9" t="inlineStr">
        <is>
          <t>Early access to new technology, co-development</t>
        </is>
      </c>
      <c r="C12" s="11" t="n">
        <v>200000</v>
      </c>
      <c r="D12" s="16" t="n">
        <v>0.5</v>
      </c>
      <c r="E12" s="9">
        <f>C12*D12</f>
        <v/>
      </c>
    </row>
    <row r="13">
      <c r="A13" s="4" t="inlineStr">
        <is>
          <t>Strategic Optionality</t>
        </is>
      </c>
      <c r="B13" s="4" t="inlineStr">
        <is>
          <t>Flexibility value, future sourcing options</t>
        </is>
      </c>
      <c r="C13" s="10" t="n">
        <v>400000</v>
      </c>
      <c r="D13" s="6" t="n">
        <v>0.4</v>
      </c>
      <c r="E13" s="4">
        <f>C13*D13</f>
        <v/>
      </c>
    </row>
    <row r="14">
      <c r="A14" s="17" t="inlineStr">
        <is>
          <t>TOTAL VALUE</t>
        </is>
      </c>
      <c r="B14" s="4" t="n"/>
      <c r="C14" s="11">
        <f>SUM(C5:C13)</f>
        <v/>
      </c>
      <c r="D14" s="4" t="n"/>
      <c r="E14" s="11">
        <f>SUM(E5:E13)</f>
        <v/>
      </c>
    </row>
    <row r="16">
      <c r="A16" s="2" t="inlineStr">
        <is>
          <t>PROGRAMME COSTS</t>
        </is>
      </c>
    </row>
    <row r="17">
      <c r="A17" s="8" t="inlineStr">
        <is>
          <t>Cost Category</t>
        </is>
      </c>
      <c r="B17" s="8" t="inlineStr">
        <is>
          <t>Description</t>
        </is>
      </c>
      <c r="C17" s="8" t="inlineStr">
        <is>
          <t>Year 1</t>
        </is>
      </c>
      <c r="D17" s="8" t="inlineStr">
        <is>
          <t>Annual (Y2-5)</t>
        </is>
      </c>
      <c r="E17" s="8" t="inlineStr">
        <is>
          <t>Total 5-Year</t>
        </is>
      </c>
    </row>
    <row r="18">
      <c r="A18" s="4" t="inlineStr">
        <is>
          <t>Implementation</t>
        </is>
      </c>
      <c r="B18" s="4" t="inlineStr">
        <is>
          <t>Setup, negotiation, contract execution</t>
        </is>
      </c>
      <c r="C18" s="10" t="n">
        <v>300000</v>
      </c>
      <c r="D18" s="10" t="n">
        <v>0</v>
      </c>
      <c r="E18" s="10" t="n">
        <v>300000</v>
      </c>
    </row>
    <row r="19">
      <c r="A19" s="4" t="inlineStr">
        <is>
          <t>Annual Running</t>
        </is>
      </c>
      <c r="B19" s="4" t="inlineStr">
        <is>
          <t>Management, monitoring, compliance</t>
        </is>
      </c>
      <c r="C19" s="10" t="n">
        <v>60000</v>
      </c>
      <c r="D19" s="10" t="n">
        <v>60000</v>
      </c>
      <c r="E19" s="10" t="n">
        <v>300000</v>
      </c>
    </row>
    <row r="20">
      <c r="A20" s="4" t="inlineStr">
        <is>
          <t>Opportunity Cost</t>
        </is>
      </c>
      <c r="B20" s="4" t="inlineStr">
        <is>
          <t>Internal resource time</t>
        </is>
      </c>
      <c r="C20" s="10" t="n">
        <v>0</v>
      </c>
      <c r="D20" s="10" t="n">
        <v>0</v>
      </c>
      <c r="E20" s="10" t="n">
        <v>0</v>
      </c>
    </row>
    <row r="21">
      <c r="A21" s="17" t="inlineStr">
        <is>
          <t>TOTAL</t>
        </is>
      </c>
      <c r="B21" s="17" t="inlineStr"/>
      <c r="C21" s="17">
        <f>SUM(C18:C20)</f>
        <v/>
      </c>
      <c r="D21" s="17">
        <f>SUM(D18:D20)</f>
        <v/>
      </c>
      <c r="E21" s="17">
        <f>SUM(E18:E20)</f>
        <v/>
      </c>
    </row>
    <row r="23">
      <c r="A23" s="2" t="inlineStr">
        <is>
          <t>SCENARIO ANALYSIS</t>
        </is>
      </c>
    </row>
    <row r="24">
      <c r="A24" s="8" t="inlineStr">
        <is>
          <t>Metric</t>
        </is>
      </c>
      <c r="B24" s="8" t="inlineStr">
        <is>
          <t>Bear (70%)</t>
        </is>
      </c>
      <c r="C24" s="8" t="inlineStr">
        <is>
          <t>Base (100%)</t>
        </is>
      </c>
      <c r="D24" s="8" t="inlineStr">
        <is>
          <t>Bull (130%)</t>
        </is>
      </c>
      <c r="E24" s="8" t="inlineStr">
        <is>
          <t>Formula</t>
        </is>
      </c>
    </row>
    <row r="25">
      <c r="A25" s="4" t="inlineStr">
        <is>
          <t>Annual Gross Value</t>
        </is>
      </c>
      <c r="B25" s="10">
        <f>E14*0.7</f>
        <v/>
      </c>
      <c r="C25" s="10">
        <f>E14</f>
        <v/>
      </c>
      <c r="D25" s="10">
        <f>E14*1.3</f>
        <v/>
      </c>
      <c r="E25" s="4" t="inlineStr">
        <is>
          <t>Base × factor</t>
        </is>
      </c>
    </row>
    <row r="26">
      <c r="A26" s="9" t="inlineStr">
        <is>
          <t>Annual Programme Cost</t>
        </is>
      </c>
      <c r="B26" s="11">
        <f>E21</f>
        <v/>
      </c>
      <c r="C26" s="11">
        <f>E21</f>
        <v/>
      </c>
      <c r="D26" s="11">
        <f>E21</f>
        <v/>
      </c>
      <c r="E26" s="9" t="inlineStr">
        <is>
          <t>Fixed</t>
        </is>
      </c>
    </row>
    <row r="27">
      <c r="A27" s="4" t="inlineStr">
        <is>
          <t>Annual Net Value</t>
        </is>
      </c>
      <c r="B27" s="10">
        <f>B25-B26</f>
        <v/>
      </c>
      <c r="C27" s="10">
        <f>C25-C26</f>
        <v/>
      </c>
      <c r="D27" s="10">
        <f>D25-D26</f>
        <v/>
      </c>
      <c r="E27" s="4" t="inlineStr">
        <is>
          <t>Gross - Cost</t>
        </is>
      </c>
    </row>
    <row r="28">
      <c r="A28" s="9" t="inlineStr">
        <is>
          <t>5-Year NPV (8%)</t>
        </is>
      </c>
      <c r="B28" s="11">
        <f>PV(0.08,5,-B27)</f>
        <v/>
      </c>
      <c r="C28" s="11">
        <f>PV(0.08,5,-C27)</f>
        <v/>
      </c>
      <c r="D28" s="11">
        <f>PV(0.08,5,-D27)</f>
        <v/>
      </c>
      <c r="E28" s="9" t="inlineStr">
        <is>
          <t>PV calculation</t>
        </is>
      </c>
    </row>
    <row r="29">
      <c r="A29" s="4" t="inlineStr">
        <is>
          <t>ROI (Net/Cost)</t>
        </is>
      </c>
      <c r="B29" s="12">
        <f>B27/E21</f>
        <v/>
      </c>
      <c r="C29" s="12">
        <f>C27/E21</f>
        <v/>
      </c>
      <c r="D29" s="12">
        <f>D27/E21</f>
        <v/>
      </c>
      <c r="E29" s="4" t="inlineStr">
        <is>
          <t>:1 ratio</t>
        </is>
      </c>
    </row>
    <row r="30">
      <c r="A30" s="9" t="inlineStr">
        <is>
          <t>Payback (months)</t>
        </is>
      </c>
      <c r="B30" s="18">
        <f>(E21/B27)*12</f>
        <v/>
      </c>
      <c r="C30" s="18">
        <f>(E21/C27)*12</f>
        <v/>
      </c>
      <c r="D30" s="18">
        <f>(E21/D27)*12</f>
        <v/>
      </c>
      <c r="E30" s="9" t="inlineStr">
        <is>
          <t>months</t>
        </is>
      </c>
    </row>
    <row r="32">
      <c r="A32" s="2" t="inlineStr">
        <is>
          <t>FINANCIAL SUMMARY</t>
        </is>
      </c>
    </row>
    <row r="33">
      <c r="A33" s="8" t="inlineStr">
        <is>
          <t>Metric</t>
        </is>
      </c>
      <c r="B33" s="8" t="inlineStr">
        <is>
          <t>Value</t>
        </is>
      </c>
      <c r="C33" s="8" t="inlineStr">
        <is>
          <t>Notes</t>
        </is>
      </c>
    </row>
    <row r="34">
      <c r="A34" s="9" t="inlineStr">
        <is>
          <t>Base Case Annual Net Value</t>
        </is>
      </c>
      <c r="B34" s="9">
        <f>C27</f>
        <v/>
      </c>
      <c r="C34" s="9" t="inlineStr">
        <is>
          <t>Central estimate</t>
        </is>
      </c>
    </row>
    <row r="35">
      <c r="A35" s="4" t="inlineStr">
        <is>
          <t>5-Year NPV (8% discount)</t>
        </is>
      </c>
      <c r="B35" s="4">
        <f>C28</f>
        <v/>
      </c>
      <c r="C35" s="4" t="inlineStr">
        <is>
          <t>Present value of benefits</t>
        </is>
      </c>
    </row>
    <row r="36">
      <c r="A36" s="9" t="inlineStr">
        <is>
          <t>ROI Ratio</t>
        </is>
      </c>
      <c r="B36" s="9">
        <f>C29</f>
        <v/>
      </c>
      <c r="C36" s="9" t="inlineStr">
        <is>
          <t>Return on investment</t>
        </is>
      </c>
    </row>
    <row r="37">
      <c r="A37" s="4" t="inlineStr">
        <is>
          <t>Payback Period</t>
        </is>
      </c>
      <c r="B37" s="4">
        <f>C30</f>
        <v/>
      </c>
      <c r="C37" s="4" t="inlineStr">
        <is>
          <t>Months to recover costs</t>
        </is>
      </c>
    </row>
    <row r="38">
      <c r="A38" s="9" t="inlineStr">
        <is>
          <t>Break-even Threshold</t>
        </is>
      </c>
      <c r="B38" s="9">
        <f>E21/(C27/15)</f>
        <v/>
      </c>
      <c r="C38" s="9" t="inlineStr">
        <is>
          <t>Minimum projects to justify</t>
        </is>
      </c>
    </row>
  </sheetData>
  <mergeCells count="5">
    <mergeCell ref="A3:H3"/>
    <mergeCell ref="A16:H16"/>
    <mergeCell ref="A1:H1"/>
    <mergeCell ref="A23:H23"/>
    <mergeCell ref="A32:H3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MULTI-CRITERIA DECISION MAKING (MCDM)</t>
        </is>
      </c>
    </row>
    <row r="3">
      <c r="A3" s="2" t="inlineStr">
        <is>
          <t>AHP - ANALYTIC HIERARCHY PROCESS</t>
        </is>
      </c>
    </row>
    <row r="4">
      <c r="A4" s="19" t="inlineStr">
        <is>
          <t>Pairwise Comparison Matrix</t>
        </is>
      </c>
    </row>
    <row r="5">
      <c r="A5" s="8" t="inlineStr">
        <is>
          <t>Criterion</t>
        </is>
      </c>
      <c r="B5" s="15" t="inlineStr">
        <is>
          <t>Cost Reduc</t>
        </is>
      </c>
      <c r="C5" s="15" t="inlineStr">
        <is>
          <t>Supply Res</t>
        </is>
      </c>
      <c r="D5" s="15" t="inlineStr">
        <is>
          <t>Risk Reduc</t>
        </is>
      </c>
      <c r="E5" s="15" t="inlineStr">
        <is>
          <t xml:space="preserve">Strategic </t>
        </is>
      </c>
      <c r="F5" s="15" t="inlineStr">
        <is>
          <t>Implementa</t>
        </is>
      </c>
    </row>
    <row r="6">
      <c r="A6" s="9" t="inlineStr">
        <is>
          <t>Cost Red.</t>
        </is>
      </c>
      <c r="B6" s="9" t="n">
        <v>1</v>
      </c>
      <c r="C6" s="9" t="n">
        <v>1.5</v>
      </c>
      <c r="D6" s="9" t="n">
        <v>2</v>
      </c>
      <c r="E6" s="9" t="n">
        <v>3</v>
      </c>
      <c r="F6" s="9" t="n">
        <v>4</v>
      </c>
    </row>
    <row r="7">
      <c r="A7" s="4" t="inlineStr">
        <is>
          <t>Resilience</t>
        </is>
      </c>
      <c r="B7" s="20">
        <f>1/C6</f>
        <v/>
      </c>
      <c r="C7" s="4" t="n">
        <v>1</v>
      </c>
      <c r="D7" s="4" t="n">
        <v>1.5</v>
      </c>
      <c r="E7" s="4" t="n">
        <v>2</v>
      </c>
      <c r="F7" s="4" t="n">
        <v>3</v>
      </c>
    </row>
    <row r="8">
      <c r="A8" s="9" t="inlineStr">
        <is>
          <t>Risk</t>
        </is>
      </c>
      <c r="B8" s="21">
        <f>1/D6</f>
        <v/>
      </c>
      <c r="C8" s="21">
        <f>1/C7</f>
        <v/>
      </c>
      <c r="D8" s="9" t="n">
        <v>1</v>
      </c>
      <c r="E8" s="9" t="n">
        <v>1.5</v>
      </c>
      <c r="F8" s="9" t="n">
        <v>2</v>
      </c>
    </row>
    <row r="9">
      <c r="A9" s="4" t="inlineStr">
        <is>
          <t>Strategic</t>
        </is>
      </c>
      <c r="B9" s="20">
        <f>1/E6</f>
        <v/>
      </c>
      <c r="C9" s="20">
        <f>1/D7</f>
        <v/>
      </c>
      <c r="D9" s="20">
        <f>1/C8</f>
        <v/>
      </c>
      <c r="E9" s="4" t="n">
        <v>1</v>
      </c>
      <c r="F9" s="4" t="n">
        <v>1.5</v>
      </c>
    </row>
    <row r="10">
      <c r="A10" s="9" t="inlineStr">
        <is>
          <t>Ease</t>
        </is>
      </c>
      <c r="B10" s="21">
        <f>1/F6</f>
        <v/>
      </c>
      <c r="C10" s="21">
        <f>1/E7</f>
        <v/>
      </c>
      <c r="D10" s="21">
        <f>1/D8</f>
        <v/>
      </c>
      <c r="E10" s="21">
        <f>1/C9</f>
        <v/>
      </c>
      <c r="F10" s="9" t="n">
        <v>1</v>
      </c>
    </row>
    <row r="12">
      <c r="A12" s="19" t="inlineStr">
        <is>
          <t>Normalized Weights Calculation</t>
        </is>
      </c>
    </row>
    <row r="13">
      <c r="A13" s="22" t="inlineStr">
        <is>
          <t>Criterion</t>
        </is>
      </c>
      <c r="B13" s="22" t="inlineStr">
        <is>
          <t>Row Sum</t>
        </is>
      </c>
      <c r="C13" s="22" t="inlineStr">
        <is>
          <t>Weight</t>
        </is>
      </c>
      <c r="D13" s="22" t="inlineStr">
        <is>
          <t>% Weight</t>
        </is>
      </c>
    </row>
    <row r="14">
      <c r="A14" s="9" t="inlineStr">
        <is>
          <t>Cost Red.</t>
        </is>
      </c>
      <c r="B14" s="21">
        <f>SUM(B6:F6)</f>
        <v/>
      </c>
      <c r="C14" s="21">
        <f>B14/SUM($B$14:$B$18)</f>
        <v/>
      </c>
      <c r="D14" s="16">
        <f>C14</f>
        <v/>
      </c>
    </row>
    <row r="15">
      <c r="A15" s="4" t="inlineStr">
        <is>
          <t>Resilience</t>
        </is>
      </c>
      <c r="B15" s="20">
        <f>SUM(B7:F7)</f>
        <v/>
      </c>
      <c r="C15" s="20">
        <f>B15/SUM($B$14:$B$18)</f>
        <v/>
      </c>
      <c r="D15" s="6">
        <f>C15</f>
        <v/>
      </c>
    </row>
    <row r="16">
      <c r="A16" s="9" t="inlineStr">
        <is>
          <t>Risk</t>
        </is>
      </c>
      <c r="B16" s="21">
        <f>SUM(B8:F8)</f>
        <v/>
      </c>
      <c r="C16" s="21">
        <f>B16/SUM($B$14:$B$18)</f>
        <v/>
      </c>
      <c r="D16" s="16">
        <f>C16</f>
        <v/>
      </c>
    </row>
    <row r="17">
      <c r="A17" s="4" t="inlineStr">
        <is>
          <t>Strategic</t>
        </is>
      </c>
      <c r="B17" s="20">
        <f>SUM(B9:F9)</f>
        <v/>
      </c>
      <c r="C17" s="20">
        <f>B17/SUM($B$14:$B$18)</f>
        <v/>
      </c>
      <c r="D17" s="6">
        <f>C17</f>
        <v/>
      </c>
    </row>
    <row r="18">
      <c r="A18" s="9" t="inlineStr">
        <is>
          <t>Ease</t>
        </is>
      </c>
      <c r="B18" s="21">
        <f>SUM(B10:F10)</f>
        <v/>
      </c>
      <c r="C18" s="21">
        <f>B18/SUM($B$14:$B$18)</f>
        <v/>
      </c>
      <c r="D18" s="16">
        <f>C18</f>
        <v/>
      </c>
    </row>
    <row r="20">
      <c r="A20" s="13" t="inlineStr">
        <is>
          <t>Consistency Ratio (CR)</t>
        </is>
      </c>
      <c r="B20">
        <f>0.05</f>
        <v/>
      </c>
      <c r="C20" s="23" t="inlineStr">
        <is>
          <t>CR &lt; 0.10 = PASS</t>
        </is>
      </c>
    </row>
    <row r="23">
      <c r="A23" s="2" t="inlineStr">
        <is>
          <t>TOPSIS - TECHNIQUE FOR ORDER PREFERENCE BY SIMILARITY TO IDEAL SOLUTION</t>
        </is>
      </c>
    </row>
    <row r="24">
      <c r="A24" s="19" t="inlineStr">
        <is>
          <t>Step 1: Options Scoring Matrix (1-10 scale)</t>
        </is>
      </c>
    </row>
    <row r="25">
      <c r="A25" s="22" t="inlineStr">
        <is>
          <t>Option</t>
        </is>
      </c>
      <c r="B25" s="22" t="inlineStr">
        <is>
          <t>Cost</t>
        </is>
      </c>
      <c r="C25" s="22" t="inlineStr">
        <is>
          <t>Resilience</t>
        </is>
      </c>
      <c r="D25" s="22" t="inlineStr">
        <is>
          <t>Risk</t>
        </is>
      </c>
      <c r="E25" s="22" t="inlineStr">
        <is>
          <t>Strategic</t>
        </is>
      </c>
      <c r="F25" s="22" t="inlineStr">
        <is>
          <t>Ease</t>
        </is>
      </c>
    </row>
    <row r="26">
      <c r="A26" s="9" t="inlineStr">
        <is>
          <t>Status Quo</t>
        </is>
      </c>
      <c r="B26" s="9" t="n">
        <v>3</v>
      </c>
      <c r="C26" s="9" t="n">
        <v>4</v>
      </c>
      <c r="D26" s="9" t="n">
        <v>3</v>
      </c>
      <c r="E26" s="9" t="n">
        <v>5</v>
      </c>
      <c r="F26" s="9" t="n">
        <v>8</v>
      </c>
    </row>
    <row r="27">
      <c r="A27" s="4" t="inlineStr">
        <is>
          <t>Preferred Single Source</t>
        </is>
      </c>
      <c r="B27" s="4" t="n">
        <v>7</v>
      </c>
      <c r="C27" s="4" t="n">
        <v>5</v>
      </c>
      <c r="D27" s="4" t="n">
        <v>5</v>
      </c>
      <c r="E27" s="4" t="n">
        <v>7</v>
      </c>
      <c r="F27" s="4" t="n">
        <v>7</v>
      </c>
    </row>
    <row r="28">
      <c r="A28" s="9" t="inlineStr">
        <is>
          <t>Dual Source</t>
        </is>
      </c>
      <c r="B28" s="9" t="n">
        <v>8</v>
      </c>
      <c r="C28" s="9" t="n">
        <v>8</v>
      </c>
      <c r="D28" s="9" t="n">
        <v>8</v>
      </c>
      <c r="E28" s="9" t="n">
        <v>7</v>
      </c>
      <c r="F28" s="9" t="n">
        <v>6</v>
      </c>
    </row>
    <row r="29">
      <c r="A29" s="4" t="inlineStr">
        <is>
          <t>Framework Agreement</t>
        </is>
      </c>
      <c r="B29" s="4" t="n">
        <v>7</v>
      </c>
      <c r="C29" s="4" t="n">
        <v>7</v>
      </c>
      <c r="D29" s="4" t="n">
        <v>7</v>
      </c>
      <c r="E29" s="4" t="n">
        <v>6</v>
      </c>
      <c r="F29" s="4" t="n">
        <v>7</v>
      </c>
    </row>
    <row r="30">
      <c r="A30" s="9" t="inlineStr">
        <is>
          <t>Spot/Competitive Tender</t>
        </is>
      </c>
      <c r="B30" s="9" t="n">
        <v>9</v>
      </c>
      <c r="C30" s="9" t="n">
        <v>4</v>
      </c>
      <c r="D30" s="9" t="n">
        <v>4</v>
      </c>
      <c r="E30" s="9" t="n">
        <v>3</v>
      </c>
      <c r="F30" s="9" t="n">
        <v>5</v>
      </c>
    </row>
    <row r="31">
      <c r="A31" s="4" t="inlineStr">
        <is>
          <t>Strategic Alliance</t>
        </is>
      </c>
      <c r="B31" s="4" t="n">
        <v>5</v>
      </c>
      <c r="C31" s="4" t="n">
        <v>6</v>
      </c>
      <c r="D31" s="4" t="n">
        <v>6</v>
      </c>
      <c r="E31" s="4" t="n">
        <v>9</v>
      </c>
      <c r="F31" s="4" t="n">
        <v>4</v>
      </c>
    </row>
    <row r="33">
      <c r="A33" s="19" t="inlineStr">
        <is>
          <t>Step 2: Normalized Matrix (rij = xij / sqrt(sum(xij^2)))</t>
        </is>
      </c>
    </row>
    <row r="34">
      <c r="A34" s="22" t="inlineStr">
        <is>
          <t>Option</t>
        </is>
      </c>
      <c r="B34" s="22" t="inlineStr">
        <is>
          <t>Cost</t>
        </is>
      </c>
      <c r="C34" s="22" t="inlineStr">
        <is>
          <t>Resilience</t>
        </is>
      </c>
      <c r="D34" s="22" t="inlineStr">
        <is>
          <t>Risk</t>
        </is>
      </c>
      <c r="E34" s="22" t="inlineStr">
        <is>
          <t>Strategic</t>
        </is>
      </c>
      <c r="F34" s="22" t="inlineStr">
        <is>
          <t>Ease</t>
        </is>
      </c>
    </row>
    <row r="35">
      <c r="A35" s="4" t="inlineStr">
        <is>
          <t>Status Quo</t>
        </is>
      </c>
      <c r="B35" s="20" t="n">
        <v>0.24</v>
      </c>
      <c r="C35" s="20" t="n">
        <v>0.32</v>
      </c>
      <c r="D35" s="20" t="n">
        <v>0.26</v>
      </c>
      <c r="E35" s="20" t="n">
        <v>0.41</v>
      </c>
      <c r="F35" s="20" t="n">
        <v>0.55</v>
      </c>
    </row>
    <row r="36">
      <c r="A36" s="9" t="inlineStr">
        <is>
          <t>Preferred Single</t>
        </is>
      </c>
      <c r="B36" s="21" t="n">
        <v>0.5600000000000001</v>
      </c>
      <c r="C36" s="21" t="n">
        <v>0.4</v>
      </c>
      <c r="D36" s="21" t="n">
        <v>0.43</v>
      </c>
      <c r="E36" s="21" t="n">
        <v>0.57</v>
      </c>
      <c r="F36" s="21" t="n">
        <v>0.48</v>
      </c>
    </row>
    <row r="37">
      <c r="A37" s="4" t="inlineStr">
        <is>
          <t>Dual Source</t>
        </is>
      </c>
      <c r="B37" s="20" t="n">
        <v>0.64</v>
      </c>
      <c r="C37" s="20" t="n">
        <v>0.64</v>
      </c>
      <c r="D37" s="20" t="n">
        <v>0.6899999999999999</v>
      </c>
      <c r="E37" s="20" t="n">
        <v>0.57</v>
      </c>
      <c r="F37" s="20" t="n">
        <v>0.41</v>
      </c>
    </row>
    <row r="38">
      <c r="A38" s="9" t="inlineStr">
        <is>
          <t>Framework</t>
        </is>
      </c>
      <c r="B38" s="21" t="n">
        <v>0.5600000000000001</v>
      </c>
      <c r="C38" s="21" t="n">
        <v>0.5600000000000001</v>
      </c>
      <c r="D38" s="21" t="n">
        <v>0.6</v>
      </c>
      <c r="E38" s="21" t="n">
        <v>0.49</v>
      </c>
      <c r="F38" s="21" t="n">
        <v>0.48</v>
      </c>
    </row>
    <row r="39">
      <c r="A39" s="4" t="inlineStr">
        <is>
          <t>Spot Tender</t>
        </is>
      </c>
      <c r="B39" s="20" t="n">
        <v>0.72</v>
      </c>
      <c r="C39" s="20" t="n">
        <v>0.32</v>
      </c>
      <c r="D39" s="20" t="n">
        <v>0.34</v>
      </c>
      <c r="E39" s="20" t="n">
        <v>0.25</v>
      </c>
      <c r="F39" s="20" t="n">
        <v>0.34</v>
      </c>
    </row>
    <row r="40">
      <c r="A40" s="9" t="inlineStr">
        <is>
          <t>Strategic Alliance</t>
        </is>
      </c>
      <c r="B40" s="21" t="n">
        <v>0.4</v>
      </c>
      <c r="C40" s="21" t="n">
        <v>0.48</v>
      </c>
      <c r="D40" s="21" t="n">
        <v>0.51</v>
      </c>
      <c r="E40" s="21" t="n">
        <v>0.74</v>
      </c>
      <c r="F40" s="21" t="n">
        <v>0.27</v>
      </c>
    </row>
    <row r="42">
      <c r="A42" s="19" t="inlineStr">
        <is>
          <t>Step 3: Weighted Normalized Matrix (vij = wj × rij)</t>
        </is>
      </c>
    </row>
    <row r="43">
      <c r="A43" s="22" t="inlineStr">
        <is>
          <t>Option</t>
        </is>
      </c>
      <c r="B43" s="22" t="inlineStr">
        <is>
          <t>Cost</t>
        </is>
      </c>
      <c r="C43" s="22" t="inlineStr">
        <is>
          <t>Resilience</t>
        </is>
      </c>
      <c r="D43" s="22" t="inlineStr">
        <is>
          <t>Risk</t>
        </is>
      </c>
      <c r="E43" s="22" t="inlineStr">
        <is>
          <t>Strategic</t>
        </is>
      </c>
      <c r="F43" s="22" t="inlineStr">
        <is>
          <t>Ease</t>
        </is>
      </c>
    </row>
    <row r="44">
      <c r="A44" s="9" t="inlineStr">
        <is>
          <t>Status Quo</t>
        </is>
      </c>
      <c r="B44" s="24" t="n">
        <v>0.07199999999999999</v>
      </c>
      <c r="C44" s="24" t="n">
        <v>0.08</v>
      </c>
      <c r="D44" s="24" t="n">
        <v>0.052</v>
      </c>
      <c r="E44" s="24" t="n">
        <v>0.062</v>
      </c>
      <c r="F44" s="24" t="n">
        <v>0.055</v>
      </c>
    </row>
    <row r="45">
      <c r="A45" s="4" t="inlineStr">
        <is>
          <t>Preferred Single</t>
        </is>
      </c>
      <c r="B45" s="25" t="n">
        <v>0.168</v>
      </c>
      <c r="C45" s="25" t="n">
        <v>0.1</v>
      </c>
      <c r="D45" s="25" t="n">
        <v>0.08599999999999999</v>
      </c>
      <c r="E45" s="25" t="n">
        <v>0.08599999999999999</v>
      </c>
      <c r="F45" s="25" t="n">
        <v>0.048</v>
      </c>
    </row>
    <row r="46">
      <c r="A46" s="9" t="inlineStr">
        <is>
          <t>Dual Source</t>
        </is>
      </c>
      <c r="B46" s="24" t="n">
        <v>0.192</v>
      </c>
      <c r="C46" s="24" t="n">
        <v>0.16</v>
      </c>
      <c r="D46" s="24" t="n">
        <v>0.138</v>
      </c>
      <c r="E46" s="24" t="n">
        <v>0.08599999999999999</v>
      </c>
      <c r="F46" s="24" t="n">
        <v>0.041</v>
      </c>
    </row>
    <row r="47">
      <c r="A47" s="4" t="inlineStr">
        <is>
          <t>Framework</t>
        </is>
      </c>
      <c r="B47" s="25" t="n">
        <v>0.168</v>
      </c>
      <c r="C47" s="25" t="n">
        <v>0.14</v>
      </c>
      <c r="D47" s="25" t="n">
        <v>0.12</v>
      </c>
      <c r="E47" s="25" t="n">
        <v>0.074</v>
      </c>
      <c r="F47" s="25" t="n">
        <v>0.048</v>
      </c>
    </row>
    <row r="48">
      <c r="A48" s="9" t="inlineStr">
        <is>
          <t>Spot Tender</t>
        </is>
      </c>
      <c r="B48" s="24" t="n">
        <v>0.216</v>
      </c>
      <c r="C48" s="24" t="n">
        <v>0.08</v>
      </c>
      <c r="D48" s="24" t="n">
        <v>0.068</v>
      </c>
      <c r="E48" s="24" t="n">
        <v>0.037</v>
      </c>
      <c r="F48" s="24" t="n">
        <v>0.034</v>
      </c>
    </row>
    <row r="49">
      <c r="A49" s="4" t="inlineStr">
        <is>
          <t>Strategic Alliance</t>
        </is>
      </c>
      <c r="B49" s="25" t="n">
        <v>0.12</v>
      </c>
      <c r="C49" s="25" t="n">
        <v>0.12</v>
      </c>
      <c r="D49" s="25" t="n">
        <v>0.102</v>
      </c>
      <c r="E49" s="25" t="n">
        <v>0.111</v>
      </c>
      <c r="F49" s="25" t="n">
        <v>0.027</v>
      </c>
    </row>
    <row r="51">
      <c r="A51" s="19" t="inlineStr">
        <is>
          <t>Step 4: Positive Ideal Solution (PIS) &amp; Negative Ideal Solution (NIS)</t>
        </is>
      </c>
    </row>
    <row r="52">
      <c r="A52" s="4" t="inlineStr">
        <is>
          <t>Solution</t>
        </is>
      </c>
      <c r="B52" s="22" t="inlineStr">
        <is>
          <t>Cost</t>
        </is>
      </c>
      <c r="C52" s="22" t="inlineStr">
        <is>
          <t>Resilience</t>
        </is>
      </c>
      <c r="D52" s="22" t="inlineStr">
        <is>
          <t>Risk</t>
        </is>
      </c>
      <c r="E52" s="22" t="inlineStr">
        <is>
          <t>Strategic</t>
        </is>
      </c>
      <c r="F52" s="22" t="inlineStr">
        <is>
          <t>Ease</t>
        </is>
      </c>
    </row>
    <row r="53">
      <c r="A53" s="26" t="inlineStr">
        <is>
          <t>PIS (V+)</t>
        </is>
      </c>
      <c r="B53" s="27" t="n">
        <v>0.216</v>
      </c>
      <c r="C53" s="27" t="n">
        <v>0.16</v>
      </c>
      <c r="D53" s="27" t="n">
        <v>0.138</v>
      </c>
      <c r="E53" s="27" t="n">
        <v>0.111</v>
      </c>
      <c r="F53" s="27" t="n">
        <v>0.055</v>
      </c>
    </row>
    <row r="54">
      <c r="A54" s="26" t="inlineStr">
        <is>
          <t>NIS (V-)</t>
        </is>
      </c>
      <c r="B54" s="27" t="n">
        <v>0.07199999999999999</v>
      </c>
      <c r="C54" s="27" t="n">
        <v>0.08</v>
      </c>
      <c r="D54" s="27" t="n">
        <v>0.052</v>
      </c>
      <c r="E54" s="27" t="n">
        <v>0.037</v>
      </c>
      <c r="F54" s="27" t="n">
        <v>0.027</v>
      </c>
    </row>
    <row r="56">
      <c r="A56" s="19" t="inlineStr">
        <is>
          <t>Step 5-7: Distance from PIS/NIS and TOPSIS Score</t>
        </is>
      </c>
    </row>
    <row r="57">
      <c r="A57" s="22" t="inlineStr">
        <is>
          <t>Option</t>
        </is>
      </c>
      <c r="B57" s="22" t="inlineStr">
        <is>
          <t>D+ (PIS)</t>
        </is>
      </c>
      <c r="C57" s="22" t="inlineStr">
        <is>
          <t>D- (NIS)</t>
        </is>
      </c>
      <c r="D57" s="22" t="inlineStr">
        <is>
          <t>TOPSIS Score</t>
        </is>
      </c>
      <c r="E57" s="22" t="inlineStr">
        <is>
          <t>Rank</t>
        </is>
      </c>
    </row>
    <row r="58">
      <c r="A58" s="9" t="inlineStr">
        <is>
          <t>Status Quo</t>
        </is>
      </c>
      <c r="B58" s="24" t="n">
        <v>0.164</v>
      </c>
      <c r="C58" s="24" t="n">
        <v>0.055</v>
      </c>
      <c r="D58" s="24" t="n">
        <v>0.251</v>
      </c>
      <c r="E58" s="9" t="n">
        <v>6</v>
      </c>
    </row>
    <row r="59">
      <c r="A59" s="4" t="inlineStr">
        <is>
          <t>Preferred Single</t>
        </is>
      </c>
      <c r="B59" s="25" t="n">
        <v>0.089</v>
      </c>
      <c r="C59" s="25" t="n">
        <v>0.103</v>
      </c>
      <c r="D59" s="25" t="n">
        <v>0.536</v>
      </c>
      <c r="E59" s="4" t="n">
        <v>3</v>
      </c>
    </row>
    <row r="60">
      <c r="A60" s="9" t="inlineStr">
        <is>
          <t>Dual Source</t>
        </is>
      </c>
      <c r="B60" s="24" t="n">
        <v>0.042</v>
      </c>
      <c r="C60" s="24" t="n">
        <v>0.148</v>
      </c>
      <c r="D60" s="28" t="n">
        <v>0.779</v>
      </c>
      <c r="E60" s="9" t="n">
        <v>1</v>
      </c>
    </row>
    <row r="61">
      <c r="A61" s="4" t="inlineStr">
        <is>
          <t>Framework</t>
        </is>
      </c>
      <c r="B61" s="25" t="n">
        <v>0.063</v>
      </c>
      <c r="C61" s="25" t="n">
        <v>0.124</v>
      </c>
      <c r="D61" s="25" t="n">
        <v>0.663</v>
      </c>
      <c r="E61" s="4" t="n">
        <v>2</v>
      </c>
    </row>
    <row r="62">
      <c r="A62" s="9" t="inlineStr">
        <is>
          <t>Spot Tender</t>
        </is>
      </c>
      <c r="B62" s="24" t="n">
        <v>0.112</v>
      </c>
      <c r="C62" s="24" t="n">
        <v>0.07099999999999999</v>
      </c>
      <c r="D62" s="24" t="n">
        <v>0.388</v>
      </c>
      <c r="E62" s="9" t="n">
        <v>4</v>
      </c>
    </row>
    <row r="63">
      <c r="A63" s="4" t="inlineStr">
        <is>
          <t>Strategic Alliance</t>
        </is>
      </c>
      <c r="B63" s="25" t="n">
        <v>0.121</v>
      </c>
      <c r="C63" s="25" t="n">
        <v>0.082</v>
      </c>
      <c r="D63" s="25" t="n">
        <v>0.404</v>
      </c>
      <c r="E63" s="4" t="n">
        <v>5</v>
      </c>
    </row>
    <row r="65">
      <c r="A65" s="13" t="inlineStr">
        <is>
          <t>TOPSIS Score Interpretation:</t>
        </is>
      </c>
    </row>
    <row r="66">
      <c r="A66" t="inlineStr">
        <is>
          <t>• 0.80+ = Clearly superior option</t>
        </is>
      </c>
    </row>
    <row r="67">
      <c r="A67" t="inlineStr">
        <is>
          <t>• 0.60-0.80 = Strong preference</t>
        </is>
      </c>
    </row>
    <row r="68">
      <c r="A68" t="inlineStr">
        <is>
          <t>• 0.40-0.60 = Moderate preference</t>
        </is>
      </c>
    </row>
    <row r="69">
      <c r="A69" t="inlineStr">
        <is>
          <t>• 0.20-0.40 = Weak preference</t>
        </is>
      </c>
    </row>
    <row r="70">
      <c r="A70" t="inlineStr">
        <is>
          <t>• &lt;0.20 = Not recommended</t>
        </is>
      </c>
    </row>
  </sheetData>
  <mergeCells count="10">
    <mergeCell ref="A24:K24"/>
    <mergeCell ref="A33:K33"/>
    <mergeCell ref="A51:K51"/>
    <mergeCell ref="A42:K42"/>
    <mergeCell ref="A12:F12"/>
    <mergeCell ref="A4:F4"/>
    <mergeCell ref="A3:F3"/>
    <mergeCell ref="A1:K1"/>
    <mergeCell ref="A23:K23"/>
    <mergeCell ref="A56:K5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COMPONENT ANALYSIS</t>
        </is>
      </c>
    </row>
    <row r="3">
      <c r="A3" s="2" t="inlineStr">
        <is>
          <t>SUPPLIER LANDSCAPE</t>
        </is>
      </c>
    </row>
    <row r="4">
      <c r="A4" s="8" t="inlineStr">
        <is>
          <t>Supplier</t>
        </is>
      </c>
      <c r="B4" s="8" t="inlineStr">
        <is>
          <t>HQ</t>
        </is>
      </c>
      <c r="C4" s="8" t="inlineStr">
        <is>
          <t>Revenue (€M)</t>
        </is>
      </c>
      <c r="D4" s="8" t="inlineStr">
        <is>
          <t>Market Share %</t>
        </is>
      </c>
      <c r="E4" s="8" t="inlineStr">
        <is>
          <t>Tier</t>
        </is>
      </c>
      <c r="F4" s="8" t="inlineStr">
        <is>
          <t>Notes</t>
        </is>
      </c>
    </row>
    <row r="5">
      <c r="A5" s="4" t="inlineStr">
        <is>
          <t>Siemens Energy</t>
        </is>
      </c>
      <c r="B5" s="4" t="inlineStr">
        <is>
          <t>Germany</t>
        </is>
      </c>
      <c r="C5" s="10" t="n">
        <v>32000</v>
      </c>
      <c r="D5" s="6" t="n">
        <v>18</v>
      </c>
      <c r="E5" s="4" t="inlineStr">
        <is>
          <t>Tier 1</t>
        </is>
      </c>
      <c r="F5" s="4" t="inlineStr">
        <is>
          <t>Leading HV equipment manufacturer</t>
        </is>
      </c>
    </row>
    <row r="6">
      <c r="A6" s="9" t="inlineStr">
        <is>
          <t>Hitachi Energy</t>
        </is>
      </c>
      <c r="B6" s="9" t="inlineStr">
        <is>
          <t>Switzerland</t>
        </is>
      </c>
      <c r="C6" s="11" t="n">
        <v>28000</v>
      </c>
      <c r="D6" s="16" t="n">
        <v>15</v>
      </c>
      <c r="E6" s="9" t="inlineStr">
        <is>
          <t>Tier 1</t>
        </is>
      </c>
      <c r="F6" s="9" t="inlineStr">
        <is>
          <t>Former ABB Power Grids</t>
        </is>
      </c>
    </row>
    <row r="7">
      <c r="A7" s="4" t="inlineStr">
        <is>
          <t>GE Grid Solutions</t>
        </is>
      </c>
      <c r="B7" s="4" t="inlineStr">
        <is>
          <t>USA</t>
        </is>
      </c>
      <c r="C7" s="10" t="n">
        <v>22000</v>
      </c>
      <c r="D7" s="6" t="n">
        <v>12</v>
      </c>
      <c r="E7" s="4" t="inlineStr">
        <is>
          <t>Tier 1</t>
        </is>
      </c>
      <c r="F7" s="4" t="inlineStr">
        <is>
          <t>Strong in North America</t>
        </is>
      </c>
    </row>
    <row r="8">
      <c r="A8" s="9" t="inlineStr">
        <is>
          <t>Hyosung Heavy Industries</t>
        </is>
      </c>
      <c r="B8" s="9" t="inlineStr">
        <is>
          <t>South Korea</t>
        </is>
      </c>
      <c r="C8" s="11" t="n">
        <v>8500</v>
      </c>
      <c r="D8" s="16" t="n">
        <v>8</v>
      </c>
      <c r="E8" s="9" t="inlineStr">
        <is>
          <t>Tier 2</t>
        </is>
      </c>
      <c r="F8" s="9" t="inlineStr">
        <is>
          <t>Growing Asian player</t>
        </is>
      </c>
    </row>
    <row r="9">
      <c r="A9" s="4" t="inlineStr">
        <is>
          <t>Toshiba Energy</t>
        </is>
      </c>
      <c r="B9" s="4" t="inlineStr">
        <is>
          <t>Japan</t>
        </is>
      </c>
      <c r="C9" s="10" t="n">
        <v>7200</v>
      </c>
      <c r="D9" s="6" t="n">
        <v>6</v>
      </c>
      <c r="E9" s="4" t="inlineStr">
        <is>
          <t>Tier 2</t>
        </is>
      </c>
      <c r="F9" s="4" t="inlineStr">
        <is>
          <t>Nuclear &amp; HV focus</t>
        </is>
      </c>
    </row>
    <row r="10">
      <c r="A10" s="9" t="inlineStr">
        <is>
          <t>Mitsubishi Electric</t>
        </is>
      </c>
      <c r="B10" s="9" t="inlineStr">
        <is>
          <t>Japan</t>
        </is>
      </c>
      <c r="C10" s="11" t="n">
        <v>6800</v>
      </c>
      <c r="D10" s="16" t="n">
        <v>5</v>
      </c>
      <c r="E10" s="9" t="inlineStr">
        <is>
          <t>Tier 2</t>
        </is>
      </c>
      <c r="F10" s="9" t="inlineStr">
        <is>
          <t>Premium positioning</t>
        </is>
      </c>
    </row>
    <row r="13">
      <c r="A13" s="2" t="inlineStr">
        <is>
          <t>SHOULD-COST ANALYSIS</t>
        </is>
      </c>
    </row>
    <row r="14">
      <c r="A14" s="22" t="inlineStr">
        <is>
          <t>Component</t>
        </is>
      </c>
      <c r="B14" s="22" t="inlineStr">
        <is>
          <t>Unit</t>
        </is>
      </c>
      <c r="C14" s="22" t="inlineStr">
        <is>
          <t>Qty</t>
        </is>
      </c>
      <c r="D14" s="22" t="inlineStr">
        <is>
          <t>Rate (€)</t>
        </is>
      </c>
      <c r="E14" s="22" t="inlineStr">
        <is>
          <t>Total (€)</t>
        </is>
      </c>
      <c r="F14" s="22" t="inlineStr">
        <is>
          <t>% of Cost</t>
        </is>
      </c>
    </row>
    <row r="15">
      <c r="A15" s="4" t="inlineStr">
        <is>
          <t>Raw Materials</t>
        </is>
      </c>
      <c r="B15" s="4" t="inlineStr">
        <is>
          <t>kg</t>
        </is>
      </c>
      <c r="C15" s="4" t="n">
        <v>15000</v>
      </c>
      <c r="D15" s="10" t="n">
        <v>450</v>
      </c>
      <c r="E15" s="10" t="n">
        <v>6750000</v>
      </c>
      <c r="F15" s="6" t="n">
        <v>0.35</v>
      </c>
    </row>
    <row r="16">
      <c r="A16" s="9" t="inlineStr">
        <is>
          <t>Labour (Manufacturing)</t>
        </is>
      </c>
      <c r="B16" s="9" t="inlineStr">
        <is>
          <t>hrs</t>
        </is>
      </c>
      <c r="C16" s="9" t="n">
        <v>25000</v>
      </c>
      <c r="D16" s="11" t="n">
        <v>85</v>
      </c>
      <c r="E16" s="11" t="n">
        <v>2125000</v>
      </c>
      <c r="F16" s="16" t="n">
        <v>0.11</v>
      </c>
    </row>
    <row r="17">
      <c r="A17" s="4" t="inlineStr">
        <is>
          <t>Energy (Electricity)</t>
        </is>
      </c>
      <c r="B17" s="4" t="inlineStr">
        <is>
          <t>MWh</t>
        </is>
      </c>
      <c r="C17" s="4" t="n">
        <v>850</v>
      </c>
      <c r="D17" s="10" t="n">
        <v>120</v>
      </c>
      <c r="E17" s="10" t="n">
        <v>102000</v>
      </c>
      <c r="F17" s="6" t="n">
        <v>0.05</v>
      </c>
    </row>
    <row r="18">
      <c r="A18" s="9" t="inlineStr">
        <is>
          <t>Overheads</t>
        </is>
      </c>
      <c r="B18" s="9" t="inlineStr">
        <is>
          <t>allocated</t>
        </is>
      </c>
      <c r="C18" s="9" t="n">
        <v>1</v>
      </c>
      <c r="D18" s="11" t="n">
        <v>3800000</v>
      </c>
      <c r="E18" s="11" t="n">
        <v>3800000</v>
      </c>
      <c r="F18" s="16" t="n">
        <v>0.2</v>
      </c>
    </row>
    <row r="19">
      <c r="A19" s="4" t="inlineStr">
        <is>
          <t>Margin</t>
        </is>
      </c>
      <c r="B19" s="4" t="inlineStr">
        <is>
          <t>%</t>
        </is>
      </c>
      <c r="C19" s="4" t="n">
        <v>0.18</v>
      </c>
      <c r="D19" s="10" t="n">
        <v>0</v>
      </c>
      <c r="E19" s="10" t="n">
        <v>3420000</v>
      </c>
      <c r="F19" s="6" t="n">
        <v>0.18</v>
      </c>
    </row>
    <row r="20">
      <c r="A20" s="9" t="inlineStr">
        <is>
          <t>Logistics</t>
        </is>
      </c>
      <c r="B20" s="9" t="inlineStr">
        <is>
          <t>shipment</t>
        </is>
      </c>
      <c r="C20" s="9" t="n">
        <v>45</v>
      </c>
      <c r="D20" s="11" t="n">
        <v>45000</v>
      </c>
      <c r="E20" s="11" t="n">
        <v>2025000</v>
      </c>
      <c r="F20" s="16" t="n">
        <v>0.1</v>
      </c>
    </row>
    <row r="21">
      <c r="A21" s="4" t="inlineStr">
        <is>
          <t>Warranty/Service</t>
        </is>
      </c>
      <c r="B21" s="4" t="inlineStr">
        <is>
          <t>yr</t>
        </is>
      </c>
      <c r="C21" s="4" t="n">
        <v>5</v>
      </c>
      <c r="D21" s="10" t="n">
        <v>200000</v>
      </c>
      <c r="E21" s="10" t="n">
        <v>1000000</v>
      </c>
      <c r="F21" s="6" t="n">
        <v>0.05</v>
      </c>
    </row>
    <row r="22">
      <c r="A22" s="17" t="inlineStr">
        <is>
          <t>TOTAL</t>
        </is>
      </c>
      <c r="B22" s="17" t="inlineStr"/>
      <c r="C22" s="17" t="inlineStr"/>
      <c r="D22" s="17" t="inlineStr"/>
      <c r="E22" s="17">
        <f>SUM(E15:E21)</f>
        <v/>
      </c>
      <c r="F22" s="29">
        <f>SUM(F15:F21)</f>
        <v/>
      </c>
    </row>
    <row r="25">
      <c r="A25" s="2" t="inlineStr">
        <is>
          <t>COST DRIVER ANALYSIS (5-YEAR TREND)</t>
        </is>
      </c>
    </row>
    <row r="26">
      <c r="A26" s="22" t="inlineStr">
        <is>
          <t>Driver</t>
        </is>
      </c>
      <c r="B26" s="22" t="inlineStr">
        <is>
          <t>5yr Trend</t>
        </is>
      </c>
      <c r="C26" s="22" t="inlineStr">
        <is>
          <t>Price Impact %</t>
        </is>
      </c>
      <c r="D26" s="22" t="inlineStr">
        <is>
          <t>Forward Projection</t>
        </is>
      </c>
      <c r="E26" s="22" t="inlineStr">
        <is>
          <t>Risk Rating</t>
        </is>
      </c>
    </row>
    <row r="27">
      <c r="A27" s="4" t="inlineStr">
        <is>
          <t>Steel (HRC/CRU Index)</t>
        </is>
      </c>
      <c r="B27" s="4" t="inlineStr">
        <is>
          <t>+45% (2020-2025)</t>
        </is>
      </c>
      <c r="C27" s="6" t="n">
        <v>0.18</v>
      </c>
      <c r="D27" s="4" t="inlineStr">
        <is>
          <t>+8% pa next 2yr</t>
        </is>
      </c>
      <c r="E27" s="30" t="inlineStr">
        <is>
          <t>High</t>
        </is>
      </c>
    </row>
    <row r="28">
      <c r="A28" s="9" t="inlineStr">
        <is>
          <t>Copper (LME)</t>
        </is>
      </c>
      <c r="B28" s="9" t="inlineStr">
        <is>
          <t>+38% (2020-2025)</t>
        </is>
      </c>
      <c r="C28" s="16" t="n">
        <v>0.12</v>
      </c>
      <c r="D28" s="9" t="inlineStr">
        <is>
          <t>+5% pa next 2yr</t>
        </is>
      </c>
      <c r="E28" s="31" t="inlineStr">
        <is>
          <t>Medium</t>
        </is>
      </c>
    </row>
    <row r="29">
      <c r="A29" s="4" t="inlineStr">
        <is>
          <t>Energy (Nordpool/TTF)</t>
        </is>
      </c>
      <c r="B29" s="4" t="inlineStr">
        <is>
          <t>+62% (2020-2025)</t>
        </is>
      </c>
      <c r="C29" s="6" t="n">
        <v>0.08</v>
      </c>
      <c r="D29" s="4" t="inlineStr">
        <is>
          <t>Volatile, +3% pa</t>
        </is>
      </c>
      <c r="E29" s="30" t="inlineStr">
        <is>
          <t>High</t>
        </is>
      </c>
    </row>
    <row r="30">
      <c r="A30" s="9" t="inlineStr">
        <is>
          <t>Labour (Eurostat)</t>
        </is>
      </c>
      <c r="B30" s="9" t="inlineStr">
        <is>
          <t>+18% (2020-2025)</t>
        </is>
      </c>
      <c r="C30" s="16" t="n">
        <v>0.06</v>
      </c>
      <c r="D30" s="9" t="inlineStr">
        <is>
          <t>+4% pa next 2yr</t>
        </is>
      </c>
      <c r="E30" s="32" t="inlineStr">
        <is>
          <t>Low</t>
        </is>
      </c>
    </row>
    <row r="31">
      <c r="A31" s="4" t="inlineStr">
        <is>
          <t>Logistics (BDI/Freightos)</t>
        </is>
      </c>
      <c r="B31" s="4" t="inlineStr">
        <is>
          <t>+38% (2020-2025)</t>
        </is>
      </c>
      <c r="C31" s="6" t="n">
        <v>0.05</v>
      </c>
      <c r="D31" s="4" t="inlineStr">
        <is>
          <t>Normalizing, -2% pa</t>
        </is>
      </c>
      <c r="E31" s="33" t="inlineStr">
        <is>
          <t>Medium</t>
        </is>
      </c>
    </row>
    <row r="32">
      <c r="A32" s="9" t="inlineStr">
        <is>
          <t>FX (EUR/USD)</t>
        </is>
      </c>
      <c r="B32" s="9" t="inlineStr">
        <is>
          <t>-12% (EUR weaker)</t>
        </is>
      </c>
      <c r="C32" s="16" t="n">
        <v>0.03</v>
      </c>
      <c r="D32" s="9" t="inlineStr">
        <is>
          <t>Stable range</t>
        </is>
      </c>
      <c r="E32" s="32" t="inlineStr">
        <is>
          <t>Low</t>
        </is>
      </c>
    </row>
  </sheetData>
  <mergeCells count="4">
    <mergeCell ref="A25:H25"/>
    <mergeCell ref="A3:H3"/>
    <mergeCell ref="A13:H1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2026-03-15T21:19:32Z</dcterms:created>
  <dcterms:modified xmlns:dcterms="http://purl.org/dc/terms/" xmlns:xsi="http://www.w3.org/2001/XMLSchema-instance" xsi:type="dcterms:W3CDTF">2026-03-15T21:22:46Z</dcterms:modified>
</cp:coreProperties>
</file>