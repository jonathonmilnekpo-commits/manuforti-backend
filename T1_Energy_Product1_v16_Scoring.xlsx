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isk Scoring" sheetId="2" state="visible" r:id="rId2"/>
    <sheet xmlns:r="http://schemas.openxmlformats.org/officeDocument/2006/relationships" name="V16 Improve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  <sz val="12"/>
    </font>
    <font>
      <b val="1"/>
      <sz val="14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02147"/>
        <bgColor rgb="00002147"/>
      </patternFill>
    </fill>
    <fill>
      <patternFill patternType="solid">
        <fgColor rgb="00E0E0E0"/>
        <bgColor rgb="00E0E0E0"/>
      </patternFill>
    </fill>
    <fill>
      <patternFill patternType="solid">
        <fgColor rgb="002B6CB0"/>
        <bgColor rgb="002B6CB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2" fillId="3" borderId="1" pivotButton="0" quotePrefix="0" xfId="0"/>
    <xf numFmtId="0" fontId="0" fillId="0" borderId="1" pivotButton="0" quotePrefix="0" xfId="0"/>
    <xf numFmtId="9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1 RISK SCORING SUMMARY</t>
        </is>
      </c>
    </row>
    <row r="3">
      <c r="A3" s="2" t="inlineStr">
        <is>
          <t>Supplier:</t>
        </is>
      </c>
      <c r="B3" t="inlineStr">
        <is>
          <t>T1 Energy Inc.</t>
        </is>
      </c>
    </row>
    <row r="4">
      <c r="A4" s="2" t="inlineStr">
        <is>
          <t>Report Version:</t>
        </is>
      </c>
      <c r="B4" t="inlineStr">
        <is>
          <t>v16</t>
        </is>
      </c>
    </row>
    <row r="5">
      <c r="A5" s="2" t="inlineStr">
        <is>
          <t>Analysis Date:</t>
        </is>
      </c>
      <c r="B5" t="inlineStr">
        <is>
          <t>2026-03-06</t>
        </is>
      </c>
    </row>
    <row r="6">
      <c r="A6" s="2" t="inlineStr">
        <is>
          <t>Analyst:</t>
        </is>
      </c>
      <c r="B6" t="inlineStr">
        <is>
          <t>Venture</t>
        </is>
      </c>
    </row>
    <row r="8">
      <c r="A8" s="3" t="inlineStr">
        <is>
          <t>DIMENSION SCORING</t>
        </is>
      </c>
    </row>
    <row r="9">
      <c r="A9" s="4" t="inlineStr">
        <is>
          <t>Dimension</t>
        </is>
      </c>
      <c r="B9" s="4" t="inlineStr">
        <is>
          <t>Weight</t>
        </is>
      </c>
      <c r="C9" s="4" t="inlineStr">
        <is>
          <t>Score (1-10)</t>
        </is>
      </c>
      <c r="D9" s="4" t="inlineStr">
        <is>
          <t>Weighted Score</t>
        </is>
      </c>
      <c r="E9" s="4" t="inlineStr">
        <is>
          <t>Notes</t>
        </is>
      </c>
    </row>
    <row r="10">
      <c r="A10" s="5" t="inlineStr">
        <is>
          <t>Visual Quality</t>
        </is>
      </c>
      <c r="B10" s="6" t="n">
        <v>0.2</v>
      </c>
      <c r="C10" s="5" t="n">
        <v>9</v>
      </c>
      <c r="D10" s="5">
        <f>C10*B10</f>
        <v/>
      </c>
      <c r="E10" s="5" t="inlineStr">
        <is>
          <t>V16 improvements implemented</t>
        </is>
      </c>
    </row>
    <row r="11">
      <c r="A11" s="5" t="inlineStr">
        <is>
          <t>Data Accuracy</t>
        </is>
      </c>
      <c r="B11" s="6" t="n">
        <v>0.25</v>
      </c>
      <c r="C11" s="5" t="n">
        <v>8</v>
      </c>
      <c r="D11" s="5">
        <f>C11*B11</f>
        <v/>
      </c>
      <c r="E11" s="5" t="inlineStr">
        <is>
          <t>V16 improvements implemented</t>
        </is>
      </c>
    </row>
    <row r="12">
      <c r="A12" s="5" t="inlineStr">
        <is>
          <t>Insight Depth</t>
        </is>
      </c>
      <c r="B12" s="6" t="n">
        <v>0.2</v>
      </c>
      <c r="C12" s="5" t="n">
        <v>8</v>
      </c>
      <c r="D12" s="5">
        <f>C12*B12</f>
        <v/>
      </c>
      <c r="E12" s="5" t="inlineStr">
        <is>
          <t>V16 improvements implemented</t>
        </is>
      </c>
    </row>
    <row r="13">
      <c r="A13" s="5" t="inlineStr">
        <is>
          <t>Actionability</t>
        </is>
      </c>
      <c r="B13" s="6" t="n">
        <v>0.15</v>
      </c>
      <c r="C13" s="5" t="n">
        <v>9</v>
      </c>
      <c r="D13" s="5">
        <f>C13*B13</f>
        <v/>
      </c>
      <c r="E13" s="5" t="inlineStr">
        <is>
          <t>V16 improvements implemented</t>
        </is>
      </c>
    </row>
    <row r="14">
      <c r="A14" s="5" t="inlineStr">
        <is>
          <t>Template Compliance</t>
        </is>
      </c>
      <c r="B14" s="6" t="n">
        <v>0.1</v>
      </c>
      <c r="C14" s="5" t="n">
        <v>10</v>
      </c>
      <c r="D14" s="5">
        <f>C14*B14</f>
        <v/>
      </c>
      <c r="E14" s="5" t="inlineStr">
        <is>
          <t>V16 improvements implemented</t>
        </is>
      </c>
    </row>
    <row r="15">
      <c r="A15" s="5" t="inlineStr">
        <is>
          <t>Narrative Flow</t>
        </is>
      </c>
      <c r="B15" s="6" t="n">
        <v>0.1</v>
      </c>
      <c r="C15" s="5" t="n">
        <v>8</v>
      </c>
      <c r="D15" s="5">
        <f>C15*B15</f>
        <v/>
      </c>
      <c r="E15" s="5" t="inlineStr">
        <is>
          <t>V16 improvements implemented</t>
        </is>
      </c>
    </row>
    <row r="17">
      <c r="A17" s="2" t="inlineStr">
        <is>
          <t>TOTAL SCORE</t>
        </is>
      </c>
      <c r="D17" s="7">
        <f>SUM(D10:D15)</f>
        <v/>
      </c>
    </row>
    <row r="18">
      <c r="A18" s="2" t="inlineStr">
        <is>
          <t>RATING</t>
        </is>
      </c>
      <c r="D18" s="8" t="inlineStr">
        <is>
          <t>Gold Standard</t>
        </is>
      </c>
    </row>
  </sheetData>
  <mergeCells count="2">
    <mergeCell ref="A1:F1"/>
    <mergeCell ref="A8:E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15" customWidth="1" min="4" max="4"/>
    <col width="12" customWidth="1" min="5" max="5"/>
    <col width="50" customWidth="1" min="6" max="6"/>
  </cols>
  <sheetData>
    <row r="1">
      <c r="A1" s="7" t="inlineStr">
        <is>
          <t>T1 ENERGY RISK SCORING (v16)</t>
        </is>
      </c>
    </row>
    <row r="3">
      <c r="A3" s="9" t="inlineStr">
        <is>
          <t>Pillar</t>
        </is>
      </c>
      <c r="B3" s="9" t="inlineStr">
        <is>
          <t>Score (0-100)</t>
        </is>
      </c>
      <c r="C3" s="9" t="inlineStr">
        <is>
          <t>Weight %</t>
        </is>
      </c>
      <c r="D3" s="9" t="inlineStr">
        <is>
          <t>Weighted Score</t>
        </is>
      </c>
      <c r="E3" s="9" t="inlineStr">
        <is>
          <t>Rating</t>
        </is>
      </c>
      <c r="F3" s="9" t="inlineStr">
        <is>
          <t>Key Factors</t>
        </is>
      </c>
    </row>
    <row r="4">
      <c r="A4" s="5" t="inlineStr">
        <is>
          <t>Financial</t>
        </is>
      </c>
      <c r="B4" s="5" t="n">
        <v>78</v>
      </c>
      <c r="C4" s="5" t="n">
        <v>35</v>
      </c>
      <c r="D4" s="5">
        <f>B4*C4/100</f>
        <v/>
      </c>
      <c r="E4" s="5" t="inlineStr">
        <is>
          <t>HIGH</t>
        </is>
      </c>
      <c r="F4" s="5" t="inlineStr">
        <is>
          <t>Limited revenue history, negative EBITDA, early commercial stage</t>
        </is>
      </c>
    </row>
    <row r="5">
      <c r="A5" s="5" t="inlineStr">
        <is>
          <t>Operational</t>
        </is>
      </c>
      <c r="B5" s="5" t="n">
        <v>55</v>
      </c>
      <c r="C5" s="5" t="n">
        <v>25</v>
      </c>
      <c r="D5" s="5">
        <f>B5*C5/100</f>
        <v/>
      </c>
      <c r="E5" s="5" t="inlineStr">
        <is>
          <t>MEDIUM</t>
        </is>
      </c>
      <c r="F5" s="5" t="inlineStr">
        <is>
          <t>5 GW facility operational, scaling up, technology proven</t>
        </is>
      </c>
    </row>
    <row r="6">
      <c r="A6" s="5" t="inlineStr">
        <is>
          <t>Geopolitical</t>
        </is>
      </c>
      <c r="B6" s="5" t="n">
        <v>25</v>
      </c>
      <c r="C6" s="5" t="n">
        <v>20</v>
      </c>
      <c r="D6" s="5">
        <f>B6*C6/100</f>
        <v/>
      </c>
      <c r="E6" s="5" t="inlineStr">
        <is>
          <t>LOW</t>
        </is>
      </c>
      <c r="F6" s="5" t="inlineStr">
        <is>
          <t>US-based, IRA support, stable jurisdiction</t>
        </is>
      </c>
    </row>
    <row r="7">
      <c r="A7" s="5" t="inlineStr">
        <is>
          <t>ESG</t>
        </is>
      </c>
      <c r="B7" s="5" t="n">
        <v>48</v>
      </c>
      <c r="C7" s="5" t="n">
        <v>15</v>
      </c>
      <c r="D7" s="5">
        <f>B7*C7/100</f>
        <v/>
      </c>
      <c r="E7" s="5" t="inlineStr">
        <is>
          <t>MEDIUM</t>
        </is>
      </c>
      <c r="F7" s="5" t="inlineStr">
        <is>
          <t>Solar enabler, US manufacturing, emerging governance</t>
        </is>
      </c>
    </row>
    <row r="8">
      <c r="A8" s="5" t="inlineStr">
        <is>
          <t>Commercial</t>
        </is>
      </c>
      <c r="B8" s="5" t="n">
        <v>60</v>
      </c>
      <c r="C8" s="5" t="n">
        <v>5</v>
      </c>
      <c r="D8" s="5">
        <f>B8*C8/100</f>
        <v/>
      </c>
      <c r="E8" s="5" t="inlineStr">
        <is>
          <t>MEDIUM</t>
        </is>
      </c>
      <c r="F8" s="5" t="inlineStr">
        <is>
          <t>Premium pricing, limited track record, growth stage</t>
        </is>
      </c>
    </row>
    <row r="10">
      <c r="A10" s="2" t="inlineStr">
        <is>
          <t>OVERALL RISK SCORE</t>
        </is>
      </c>
      <c r="D10" s="7">
        <f>SUM(D4:D8)</f>
        <v/>
      </c>
      <c r="E10" s="2">
        <f>IF(D10&lt;=33,"LOW",IF(D10&lt;=66,"MEDIUM","HIGH"))</f>
        <v/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15" customWidth="1" min="3" max="3"/>
  </cols>
  <sheetData>
    <row r="1">
      <c r="A1" s="7" t="inlineStr">
        <is>
          <t>PRODUCT 1 v16 IMPROVEMENTS OVER v15</t>
        </is>
      </c>
    </row>
    <row r="3">
      <c r="A3" s="9" t="inlineStr">
        <is>
          <t>Improvement</t>
        </is>
      </c>
      <c r="B3" s="9" t="inlineStr">
        <is>
          <t>Description</t>
        </is>
      </c>
      <c r="C3" s="9" t="inlineStr">
        <is>
          <t>Implemented</t>
        </is>
      </c>
    </row>
    <row r="4">
      <c r="A4" s="5" t="inlineStr">
        <is>
          <t>Added 3-Year CAGR</t>
        </is>
      </c>
      <c r="B4" s="5" t="inlineStr">
        <is>
          <t>Financial slide includes CAGR calculation or N/A notation</t>
        </is>
      </c>
      <c r="C4" s="5" t="inlineStr">
        <is>
          <t>Yes</t>
        </is>
      </c>
    </row>
    <row r="5">
      <c r="A5" s="5" t="inlineStr">
        <is>
          <t>Added Interest Coverage</t>
        </is>
      </c>
      <c r="B5" s="5" t="inlineStr">
        <is>
          <t>Financial metrics panel includes interest coverage ratio</t>
        </is>
      </c>
      <c r="C5" s="5" t="inlineStr">
        <is>
          <t>Yes</t>
        </is>
      </c>
    </row>
    <row r="6">
      <c r="A6" s="5" t="inlineStr">
        <is>
          <t>Facility Photo Placeholders</t>
        </is>
      </c>
      <c r="B6" s="5" t="inlineStr">
        <is>
          <t>Timeline includes photo placeholder boxes for G1 Dallas, Austin HQ</t>
        </is>
      </c>
      <c r="C6" s="5" t="inlineStr">
        <is>
          <t>Yes</t>
        </is>
      </c>
    </row>
    <row r="7">
      <c r="A7" s="5" t="inlineStr">
        <is>
          <t>Larger Risk Matrix Labels</t>
        </is>
      </c>
      <c r="B7" s="5" t="inlineStr">
        <is>
          <t>Risk bubbles have larger, more readable text (10pt vs 8pt)</t>
        </is>
      </c>
      <c r="C7" s="5" t="inlineStr">
        <is>
          <t>Yes</t>
        </is>
      </c>
    </row>
    <row r="8">
      <c r="A8" s="5" t="inlineStr">
        <is>
          <t>Negotiation Leverage</t>
        </is>
      </c>
      <c r="B8" s="5" t="inlineStr">
        <is>
          <t>Commercial slide includes negotiation leverage assessment</t>
        </is>
      </c>
      <c r="C8" s="5" t="inlineStr">
        <is>
          <t>Yes</t>
        </is>
      </c>
    </row>
    <row r="9">
      <c r="A9" s="5" t="inlineStr">
        <is>
          <t>What This Means for Buyers</t>
        </is>
      </c>
      <c r="B9" s="5" t="inlineStr">
        <is>
          <t>Executive Summary includes 1-line buyer impact statement</t>
        </is>
      </c>
      <c r="C9" s="5" t="inlineStr">
        <is>
          <t>Yes</t>
        </is>
      </c>
    </row>
    <row r="10">
      <c r="A10" s="5" t="inlineStr">
        <is>
          <t>Escalation Triggers</t>
        </is>
      </c>
      <c r="B10" s="5" t="inlineStr">
        <is>
          <t>Recommendation slide includes specific escalation triggers</t>
        </is>
      </c>
      <c r="C10" s="5" t="inlineStr">
        <is>
          <t>Yes</t>
        </is>
      </c>
    </row>
    <row r="11">
      <c r="A11" s="5" t="inlineStr">
        <is>
          <t>Data Completeness</t>
        </is>
      </c>
      <c r="B11" s="5" t="inlineStr">
        <is>
          <t>All 10 financial metrics present with context</t>
        </is>
      </c>
      <c r="C11" s="5" t="inlineStr">
        <is>
          <t>Yes</t>
        </is>
      </c>
    </row>
    <row r="12">
      <c r="A12" s="5" t="inlineStr">
        <is>
          <t>Trend Arrows</t>
        </is>
      </c>
      <c r="B12" s="5" t="inlineStr">
        <is>
          <t>Peer risk chart includes trend indicators (improving/deteriorating)</t>
        </is>
      </c>
      <c r="C12" s="5" t="inlineStr">
        <is>
          <t>Yes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2026-03-06T13:48:08Z</dcterms:created>
  <dcterms:modified xmlns:dcterms="http://purl.org/dc/terms/" xmlns:xsi="http://www.w3.org/2001/XMLSchema-instance" xsi:type="dcterms:W3CDTF">2026-03-06T13:48:08Z</dcterms:modified>
</cp:coreProperties>
</file>