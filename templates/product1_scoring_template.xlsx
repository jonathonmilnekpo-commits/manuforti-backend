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Operational" sheetId="3" state="visible" r:id="rId3"/>
    <sheet xmlns:r="http://schemas.openxmlformats.org/officeDocument/2006/relationships" name="Geopolitical" sheetId="4" state="visible" r:id="rId4"/>
    <sheet xmlns:r="http://schemas.openxmlformats.org/officeDocument/2006/relationships" name="ESG" sheetId="5" state="visible" r:id="rId5"/>
    <sheet xmlns:r="http://schemas.openxmlformats.org/officeDocument/2006/relationships" name="Commercial" sheetId="6" state="visible" r:id="rId6"/>
    <sheet xmlns:r="http://schemas.openxmlformats.org/officeDocument/2006/relationships" name="Raw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sz val="24"/>
    </font>
    <font>
      <b val="1"/>
      <sz val="12"/>
    </font>
    <font>
      <b val="1"/>
      <color rgb="00FFFFFF"/>
      <sz val="12"/>
    </font>
    <font>
      <b val="1"/>
      <i val="1"/>
    </font>
    <font>
      <b val="1"/>
      <color rgb="00FF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PRODUCT 1 RISK SCORING SUMMARY</t>
        </is>
      </c>
    </row>
    <row r="3">
      <c r="A3" s="2" t="inlineStr">
        <is>
          <t>Supplier Name:</t>
        </is>
      </c>
      <c r="B3" t="inlineStr">
        <is>
          <t>[Enter Supplier Name]</t>
        </is>
      </c>
    </row>
    <row r="4">
      <c r="A4" s="2" t="inlineStr">
        <is>
          <t>Analysis Date:</t>
        </is>
      </c>
      <c r="B4" s="3">
        <f>TODAY()</f>
        <v/>
      </c>
    </row>
    <row r="5">
      <c r="A5" s="2" t="inlineStr">
        <is>
          <t>Analyst:</t>
        </is>
      </c>
      <c r="B5" t="inlineStr">
        <is>
          <t>[Agent Name]</t>
        </is>
      </c>
    </row>
    <row r="6">
      <c r="A6" s="2" t="inlineStr">
        <is>
          <t>Validation Status:</t>
        </is>
      </c>
      <c r="B6" t="inlineStr">
        <is>
          <t>PENDING</t>
        </is>
      </c>
    </row>
    <row r="8">
      <c r="A8" s="4" t="inlineStr">
        <is>
          <t>OVERALL RISK SCORE</t>
        </is>
      </c>
      <c r="B8" s="5">
        <f>ROUND(SUMPRODUCT(B14:B18,C14:C18)/100,0)</f>
        <v/>
      </c>
    </row>
    <row r="9">
      <c r="A9" s="2" t="inlineStr">
        <is>
          <t>OVERALL RATING</t>
        </is>
      </c>
      <c r="B9" s="4">
        <f>IF(B8&lt;=33,"LOW",IF(B8&lt;=66,"MEDIUM","HIGH"))</f>
        <v/>
      </c>
    </row>
    <row r="10">
      <c r="A10" s="2" t="inlineStr">
        <is>
          <t>RECOMMENDATION</t>
        </is>
      </c>
      <c r="B10" s="6">
        <f>IF(B8&lt;=33,"APPROVE",IF(B8&lt;=66,"APPROVE WITH CONDITIONS","REJECT"))</f>
        <v/>
      </c>
    </row>
    <row r="12">
      <c r="A12" s="7" t="inlineStr">
        <is>
          <t>PILLAR BREAKDOWN</t>
        </is>
      </c>
    </row>
    <row r="13">
      <c r="A13" s="8" t="inlineStr">
        <is>
          <t>Risk Pillar</t>
        </is>
      </c>
      <c r="B13" s="8" t="inlineStr">
        <is>
          <t>Score (0-100)</t>
        </is>
      </c>
      <c r="C13" s="8" t="inlineStr">
        <is>
          <t>Weight %</t>
        </is>
      </c>
      <c r="D13" s="8" t="inlineStr">
        <is>
          <t>Weighted Score</t>
        </is>
      </c>
      <c r="E13" s="8" t="inlineStr">
        <is>
          <t>Rating</t>
        </is>
      </c>
    </row>
    <row r="14">
      <c r="A14" s="9" t="inlineStr">
        <is>
          <t>Financial</t>
        </is>
      </c>
      <c r="B14" s="9" t="inlineStr">
        <is>
          <t>[Score]</t>
        </is>
      </c>
      <c r="C14" s="9" t="n">
        <v>35</v>
      </c>
      <c r="D14" s="9">
        <f>B14*C14/100</f>
        <v/>
      </c>
      <c r="E14" s="9">
        <f>IF(B14&lt;=33,"LOW",IF(B14&lt;=66,"MEDIUM","HIGH"))</f>
        <v/>
      </c>
    </row>
    <row r="15">
      <c r="A15" s="9" t="inlineStr">
        <is>
          <t>Operational</t>
        </is>
      </c>
      <c r="B15" s="9" t="inlineStr">
        <is>
          <t>[Score]</t>
        </is>
      </c>
      <c r="C15" s="9" t="n">
        <v>25</v>
      </c>
      <c r="D15" s="9">
        <f>B15*C15/100</f>
        <v/>
      </c>
      <c r="E15" s="9">
        <f>IF(B15&lt;=33,"LOW",IF(B15&lt;=66,"MEDIUM","HIGH"))</f>
        <v/>
      </c>
    </row>
    <row r="16">
      <c r="A16" s="9" t="inlineStr">
        <is>
          <t>Geopolitical</t>
        </is>
      </c>
      <c r="B16" s="9" t="inlineStr">
        <is>
          <t>[Score]</t>
        </is>
      </c>
      <c r="C16" s="9" t="n">
        <v>20</v>
      </c>
      <c r="D16" s="9">
        <f>B16*C16/100</f>
        <v/>
      </c>
      <c r="E16" s="9">
        <f>IF(B16&lt;=33,"LOW",IF(B16&lt;=66,"MEDIUM","HIGH"))</f>
        <v/>
      </c>
    </row>
    <row r="17">
      <c r="A17" s="9" t="inlineStr">
        <is>
          <t>ESG</t>
        </is>
      </c>
      <c r="B17" s="9" t="inlineStr">
        <is>
          <t>[Score]</t>
        </is>
      </c>
      <c r="C17" s="9" t="n">
        <v>15</v>
      </c>
      <c r="D17" s="9">
        <f>B17*C17/100</f>
        <v/>
      </c>
      <c r="E17" s="9">
        <f>IF(B17&lt;=33,"LOW",IF(B17&lt;=66,"MEDIUM","HIGH"))</f>
        <v/>
      </c>
    </row>
    <row r="18">
      <c r="A18" s="9" t="inlineStr">
        <is>
          <t>Commercial</t>
        </is>
      </c>
      <c r="B18" s="9" t="inlineStr">
        <is>
          <t>[Score]</t>
        </is>
      </c>
      <c r="C18" s="9" t="n">
        <v>5</v>
      </c>
      <c r="D18" s="9">
        <f>B18*C18/100</f>
        <v/>
      </c>
      <c r="E18" s="9">
        <f>IF(B18&lt;=33,"LOW",IF(B18&lt;=66,"MEDIUM","HIGH"))</f>
        <v/>
      </c>
    </row>
    <row r="20">
      <c r="A20" s="7" t="inlineStr">
        <is>
          <t>APPROVAL CONDITIONS</t>
        </is>
      </c>
    </row>
    <row r="21">
      <c r="A21" t="inlineStr">
        <is>
          <t>1.</t>
        </is>
      </c>
      <c r="B21" t="inlineStr">
        <is>
          <t>[Condition 1 - auto-populated if MEDIUM/HIGH]</t>
        </is>
      </c>
    </row>
    <row r="22">
      <c r="A22" t="inlineStr">
        <is>
          <t>2.</t>
        </is>
      </c>
      <c r="B22" t="inlineStr">
        <is>
          <t>[Condition 2]</t>
        </is>
      </c>
    </row>
    <row r="23">
      <c r="A23" t="inlineStr">
        <is>
          <t>3.</t>
        </is>
      </c>
      <c r="B23" t="inlineStr">
        <is>
          <t>[Condition 3]</t>
        </is>
      </c>
    </row>
  </sheetData>
  <mergeCells count="3">
    <mergeCell ref="A12:E12"/>
    <mergeCell ref="A1:F1"/>
    <mergeCell ref="A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5" customWidth="1" min="5" max="5"/>
    <col width="18" customWidth="1" min="6" max="6"/>
    <col width="20" customWidth="1" min="7" max="7"/>
    <col width="20" customWidth="1" min="8" max="8"/>
  </cols>
  <sheetData>
    <row r="1">
      <c r="A1" s="4" t="inlineStr">
        <is>
          <t>FINANCIAL RISK SCORING (35% Weight)</t>
        </is>
      </c>
    </row>
    <row r="3">
      <c r="A3" s="10" t="inlineStr">
        <is>
          <t>Metric</t>
        </is>
      </c>
      <c r="B3" s="10" t="inlineStr">
        <is>
          <t>Raw Value</t>
        </is>
      </c>
      <c r="C3" s="10" t="inlineStr">
        <is>
          <t>Score (0-100)</t>
        </is>
      </c>
      <c r="D3" s="10" t="inlineStr">
        <is>
          <t>Weight %</t>
        </is>
      </c>
      <c r="E3" s="10" t="inlineStr">
        <is>
          <t>Weighted Score</t>
        </is>
      </c>
      <c r="F3" s="10" t="inlineStr">
        <is>
          <t>LOW Threshold</t>
        </is>
      </c>
      <c r="G3" s="10" t="inlineStr">
        <is>
          <t>MEDIUM Threshold</t>
        </is>
      </c>
      <c r="H3" s="10" t="inlineStr">
        <is>
          <t>HIGH Threshold</t>
        </is>
      </c>
    </row>
    <row r="4">
      <c r="A4" s="9" t="inlineStr">
        <is>
          <t>Debt/EBITDA</t>
        </is>
      </c>
      <c r="B4" s="9" t="inlineStr">
        <is>
          <t>1.4x</t>
        </is>
      </c>
      <c r="C4" s="9" t="inlineStr">
        <is>
          <t>[Enter Score 0-100]</t>
        </is>
      </c>
      <c r="D4" s="9" t="n">
        <v>30</v>
      </c>
      <c r="E4" s="9">
        <f>C4*D4/100</f>
        <v/>
      </c>
      <c r="F4" s="9" t="inlineStr">
        <is>
          <t>&lt; 2.0x</t>
        </is>
      </c>
      <c r="G4" s="9" t="inlineStr">
        <is>
          <t>2.0x - 4.0x</t>
        </is>
      </c>
      <c r="H4" s="9" t="inlineStr">
        <is>
          <t>&gt; 4.0x</t>
        </is>
      </c>
    </row>
    <row r="5">
      <c r="A5" s="9" t="inlineStr">
        <is>
          <t>Net Cash Position</t>
        </is>
      </c>
      <c r="B5" s="9" t="inlineStr">
        <is>
          <t>+$85M</t>
        </is>
      </c>
      <c r="C5" s="9" t="inlineStr">
        <is>
          <t>[Enter Score 0-100]</t>
        </is>
      </c>
      <c r="D5" s="9" t="n">
        <v>25</v>
      </c>
      <c r="E5" s="9">
        <f>C5*D5/100</f>
        <v/>
      </c>
      <c r="F5" s="9" t="inlineStr">
        <is>
          <t>Positive</t>
        </is>
      </c>
      <c r="G5" s="9" t="inlineStr">
        <is>
          <t>Neutral/Small debt</t>
        </is>
      </c>
      <c r="H5" s="9" t="inlineStr">
        <is>
          <t>Significant net debt</t>
        </is>
      </c>
    </row>
    <row r="6">
      <c r="A6" s="9" t="inlineStr">
        <is>
          <t>EBITDA Margin</t>
        </is>
      </c>
      <c r="B6" s="9" t="inlineStr">
        <is>
          <t>13.3%</t>
        </is>
      </c>
      <c r="C6" s="9" t="inlineStr">
        <is>
          <t>[Enter Score 0-100]</t>
        </is>
      </c>
      <c r="D6" s="9" t="n">
        <v>25</v>
      </c>
      <c r="E6" s="9">
        <f>C6*D6/100</f>
        <v/>
      </c>
      <c r="F6" s="9" t="inlineStr">
        <is>
          <t>&gt; 12%</t>
        </is>
      </c>
      <c r="G6" s="9" t="inlineStr">
        <is>
          <t>5% - 12%</t>
        </is>
      </c>
      <c r="H6" s="9" t="inlineStr">
        <is>
          <t>&lt; 5% or negative</t>
        </is>
      </c>
    </row>
    <row r="7">
      <c r="A7" s="9" t="inlineStr">
        <is>
          <t>Revenue CAGR (3yr)</t>
        </is>
      </c>
      <c r="B7" s="9" t="inlineStr">
        <is>
          <t>8.5%</t>
        </is>
      </c>
      <c r="C7" s="9" t="inlineStr">
        <is>
          <t>[Enter Score 0-100]</t>
        </is>
      </c>
      <c r="D7" s="9" t="n">
        <v>15</v>
      </c>
      <c r="E7" s="9">
        <f>C7*D7/100</f>
        <v/>
      </c>
      <c r="F7" s="9" t="inlineStr">
        <is>
          <t>&gt; 5%</t>
        </is>
      </c>
      <c r="G7" s="9" t="inlineStr">
        <is>
          <t>0% - 5%</t>
        </is>
      </c>
      <c r="H7" s="9" t="inlineStr">
        <is>
          <t>Negative</t>
        </is>
      </c>
    </row>
    <row r="8">
      <c r="A8" s="9" t="inlineStr">
        <is>
          <t>Interest Coverage</t>
        </is>
      </c>
      <c r="B8" s="9" t="inlineStr">
        <is>
          <t>4.2x</t>
        </is>
      </c>
      <c r="C8" s="9" t="inlineStr">
        <is>
          <t>[Enter Score 0-100]</t>
        </is>
      </c>
      <c r="D8" s="9" t="n">
        <v>5</v>
      </c>
      <c r="E8" s="9">
        <f>C8*D8/100</f>
        <v/>
      </c>
      <c r="F8" s="9" t="inlineStr">
        <is>
          <t>&gt; 3.0x</t>
        </is>
      </c>
      <c r="G8" s="9" t="inlineStr">
        <is>
          <t>1.5x - 3.0x</t>
        </is>
      </c>
      <c r="H8" s="9" t="inlineStr">
        <is>
          <t>&lt; 1.5x</t>
        </is>
      </c>
    </row>
    <row r="10">
      <c r="A10" s="2" t="inlineStr">
        <is>
          <t>FINANCIAL PILLAR SCORE</t>
        </is>
      </c>
      <c r="D10" s="2">
        <f>SUM(D4:D8)</f>
        <v/>
      </c>
      <c r="E10" s="4">
        <f>SUM(E4:E8)</f>
        <v/>
      </c>
      <c r="F10" s="2">
        <f>IF(E10&lt;=33,"LOW",IF(E10&lt;=66,"MEDIUM","HIGH"))</f>
        <v/>
      </c>
    </row>
    <row r="13">
      <c r="A13" s="11" t="inlineStr">
        <is>
          <t>SCORING GUIDANCE:</t>
        </is>
      </c>
    </row>
    <row r="14">
      <c r="A14" t="inlineStr">
        <is>
          <t>0-33 (LOW): Strong financial position, low leverage, healthy margins</t>
        </is>
      </c>
    </row>
    <row r="15">
      <c r="A15" t="inlineStr">
        <is>
          <t>34-66 (MEDIUM): Some financial pressure, manageable but requires monitoring</t>
        </is>
      </c>
    </row>
    <row r="16">
      <c r="A16" t="inlineStr">
        <is>
          <t>67-100 (HIGH): Financial distress, high leverage, or declining performance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2" customWidth="1" min="4" max="4"/>
    <col width="15" customWidth="1" min="5" max="5"/>
    <col width="25" customWidth="1" min="6" max="6"/>
    <col width="25" customWidth="1" min="7" max="7"/>
    <col width="20" customWidth="1" min="8" max="8"/>
  </cols>
  <sheetData>
    <row r="1">
      <c r="A1" s="4" t="inlineStr">
        <is>
          <t>OPERATIONAL RISK SCORING (25% Weight)</t>
        </is>
      </c>
    </row>
    <row r="3">
      <c r="A3" s="10" t="inlineStr">
        <is>
          <t>Metric</t>
        </is>
      </c>
      <c r="B3" s="10" t="inlineStr">
        <is>
          <t>Raw Value</t>
        </is>
      </c>
      <c r="C3" s="10" t="inlineStr">
        <is>
          <t>Score (0-100)</t>
        </is>
      </c>
      <c r="D3" s="10" t="inlineStr">
        <is>
          <t>Weight %</t>
        </is>
      </c>
      <c r="E3" s="10" t="inlineStr">
        <is>
          <t>Weighted Score</t>
        </is>
      </c>
      <c r="F3" s="10" t="inlineStr">
        <is>
          <t>LOW Threshold</t>
        </is>
      </c>
      <c r="G3" s="10" t="inlineStr">
        <is>
          <t>MEDIUM Threshold</t>
        </is>
      </c>
      <c r="H3" s="10" t="inlineStr">
        <is>
          <t>HIGH Threshold</t>
        </is>
      </c>
    </row>
    <row r="4">
      <c r="A4" s="9" t="inlineStr">
        <is>
          <t>Order Book Coverage</t>
        </is>
      </c>
      <c r="B4" s="9" t="inlineStr">
        <is>
          <t>&gt;18 months</t>
        </is>
      </c>
      <c r="C4" s="9" t="inlineStr">
        <is>
          <t>[Enter Score 0-100]</t>
        </is>
      </c>
      <c r="D4" s="9" t="n">
        <v>25</v>
      </c>
      <c r="E4" s="9">
        <f>C4*D4/100</f>
        <v/>
      </c>
      <c r="F4" s="9" t="inlineStr">
        <is>
          <t>&gt; 18 months</t>
        </is>
      </c>
      <c r="G4" s="9" t="inlineStr">
        <is>
          <t>12-18 months</t>
        </is>
      </c>
      <c r="H4" s="9" t="inlineStr">
        <is>
          <t>&lt; 12 months</t>
        </is>
      </c>
    </row>
    <row r="5">
      <c r="A5" s="9" t="inlineStr">
        <is>
          <t>Capacity Utilization</t>
        </is>
      </c>
      <c r="B5" s="9" t="inlineStr">
        <is>
          <t>75%</t>
        </is>
      </c>
      <c r="C5" s="9" t="inlineStr">
        <is>
          <t>[Enter Score 0-100]</t>
        </is>
      </c>
      <c r="D5" s="9" t="n">
        <v>20</v>
      </c>
      <c r="E5" s="9">
        <f>C5*D5/100</f>
        <v/>
      </c>
      <c r="F5" s="9" t="inlineStr">
        <is>
          <t>70-85%</t>
        </is>
      </c>
      <c r="G5" s="9" t="inlineStr">
        <is>
          <t>85-95% or &lt;70%</t>
        </is>
      </c>
      <c r="H5" s="9" t="inlineStr">
        <is>
          <t>&gt;95% or &lt;50%</t>
        </is>
      </c>
    </row>
    <row r="6">
      <c r="A6" s="9" t="inlineStr">
        <is>
          <t>Quality Certifications</t>
        </is>
      </c>
      <c r="B6" s="9" t="inlineStr">
        <is>
          <t>ISO 9001 + Industry</t>
        </is>
      </c>
      <c r="C6" s="9" t="inlineStr">
        <is>
          <t>[Enter Score 0-100]</t>
        </is>
      </c>
      <c r="D6" s="9" t="n">
        <v>20</v>
      </c>
      <c r="E6" s="9">
        <f>C6*D6/100</f>
        <v/>
      </c>
      <c r="F6" s="9" t="inlineStr">
        <is>
          <t>ISO 9001 + industry cert</t>
        </is>
      </c>
      <c r="G6" s="9" t="inlineStr">
        <is>
          <t>ISO 9001 only</t>
        </is>
      </c>
      <c r="H6" s="9" t="inlineStr">
        <is>
          <t>No certifications</t>
        </is>
      </c>
    </row>
    <row r="7">
      <c r="A7" s="9" t="inlineStr">
        <is>
          <t>Supply Chain Concentration</t>
        </is>
      </c>
      <c r="B7" s="9" t="inlineStr">
        <is>
          <t>Diversified</t>
        </is>
      </c>
      <c r="C7" s="9" t="inlineStr">
        <is>
          <t>[Enter Score 0-100]</t>
        </is>
      </c>
      <c r="D7" s="9" t="n">
        <v>20</v>
      </c>
      <c r="E7" s="9">
        <f>C7*D7/100</f>
        <v/>
      </c>
      <c r="F7" s="9" t="inlineStr">
        <is>
          <t>&gt;3 regions</t>
        </is>
      </c>
      <c r="G7" s="9" t="inlineStr">
        <is>
          <t>2-3 regions</t>
        </is>
      </c>
      <c r="H7" s="9" t="inlineStr">
        <is>
          <t>1 region</t>
        </is>
      </c>
    </row>
    <row r="8">
      <c r="A8" s="9" t="inlineStr">
        <is>
          <t>Delivery Track Record</t>
        </is>
      </c>
      <c r="B8" s="9" t="inlineStr">
        <is>
          <t>97% on-time</t>
        </is>
      </c>
      <c r="C8" s="9" t="inlineStr">
        <is>
          <t>[Enter Score 0-100]</t>
        </is>
      </c>
      <c r="D8" s="9" t="n">
        <v>15</v>
      </c>
      <c r="E8" s="9">
        <f>C8*D8/100</f>
        <v/>
      </c>
      <c r="F8" s="9" t="inlineStr">
        <is>
          <t>&gt;95% on-time</t>
        </is>
      </c>
      <c r="G8" s="9" t="inlineStr">
        <is>
          <t>85-95% on-time</t>
        </is>
      </c>
      <c r="H8" s="9" t="inlineStr">
        <is>
          <t>&lt;85% on-time</t>
        </is>
      </c>
    </row>
    <row r="10">
      <c r="A10" s="2" t="inlineStr">
        <is>
          <t>OPERATIONAL PILLAR SCORE</t>
        </is>
      </c>
      <c r="D10" s="2">
        <f>SUM(D4:D8)</f>
        <v/>
      </c>
      <c r="E10" s="4">
        <f>SUM(E4:E8)</f>
        <v/>
      </c>
      <c r="F10" s="2">
        <f>IF(E10&lt;=33,"LOW",IF(E10&lt;=66,"MEDIUM","HIGH"))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2" customWidth="1" min="4" max="4"/>
    <col width="15" customWidth="1" min="5" max="5"/>
    <col width="25" customWidth="1" min="6" max="6"/>
    <col width="25" customWidth="1" min="7" max="7"/>
    <col width="20" customWidth="1" min="8" max="8"/>
  </cols>
  <sheetData>
    <row r="1">
      <c r="A1" s="4" t="inlineStr">
        <is>
          <t>GEOPOLITICAL RISK SCORING (20% Weight)</t>
        </is>
      </c>
    </row>
    <row r="3">
      <c r="A3" s="10" t="inlineStr">
        <is>
          <t>Metric</t>
        </is>
      </c>
      <c r="B3" s="10" t="inlineStr">
        <is>
          <t>Raw Value</t>
        </is>
      </c>
      <c r="C3" s="10" t="inlineStr">
        <is>
          <t>Score (0-100)</t>
        </is>
      </c>
      <c r="D3" s="10" t="inlineStr">
        <is>
          <t>Weight %</t>
        </is>
      </c>
      <c r="E3" s="10" t="inlineStr">
        <is>
          <t>Weighted Score</t>
        </is>
      </c>
      <c r="F3" s="10" t="inlineStr">
        <is>
          <t>LOW Threshold</t>
        </is>
      </c>
      <c r="G3" s="10" t="inlineStr">
        <is>
          <t>MEDIUM Threshold</t>
        </is>
      </c>
      <c r="H3" s="10" t="inlineStr">
        <is>
          <t>HIGH Threshold</t>
        </is>
      </c>
    </row>
    <row r="4">
      <c r="A4" s="9" t="inlineStr">
        <is>
          <t>Country Risk Rating</t>
        </is>
      </c>
      <c r="B4" s="9" t="inlineStr">
        <is>
          <t>Low Risk</t>
        </is>
      </c>
      <c r="C4" s="9" t="inlineStr">
        <is>
          <t>[Enter Score 0-100]</t>
        </is>
      </c>
      <c r="D4" s="9" t="n">
        <v>35</v>
      </c>
      <c r="E4" s="9">
        <f>C4*D4/100</f>
        <v/>
      </c>
      <c r="F4" s="9" t="inlineStr">
        <is>
          <t>BMI/Fitch: Low</t>
        </is>
      </c>
      <c r="G4" s="9" t="inlineStr">
        <is>
          <t>BMI/Fitch: Medium</t>
        </is>
      </c>
      <c r="H4" s="9" t="inlineStr">
        <is>
          <t>BMI/Fitch: High</t>
        </is>
      </c>
    </row>
    <row r="5">
      <c r="A5" s="9" t="inlineStr">
        <is>
          <t>Regulatory Stability</t>
        </is>
      </c>
      <c r="B5" s="9" t="inlineStr">
        <is>
          <t>Stable</t>
        </is>
      </c>
      <c r="C5" s="9" t="inlineStr">
        <is>
          <t>[Enter Score 0-100]</t>
        </is>
      </c>
      <c r="D5" s="9" t="n">
        <v>25</v>
      </c>
      <c r="E5" s="9">
        <f>C5*D5/100</f>
        <v/>
      </c>
      <c r="F5" s="9" t="inlineStr">
        <is>
          <t>Stable, predictable</t>
        </is>
      </c>
      <c r="G5" s="9" t="inlineStr">
        <is>
          <t>Some uncertainty</t>
        </is>
      </c>
      <c r="H5" s="9" t="inlineStr">
        <is>
          <t>High volatility</t>
        </is>
      </c>
    </row>
    <row r="6">
      <c r="A6" s="9" t="inlineStr">
        <is>
          <t>Trade/Sanctions Exposure</t>
        </is>
      </c>
      <c r="B6" s="9" t="inlineStr">
        <is>
          <t>None</t>
        </is>
      </c>
      <c r="C6" s="9" t="inlineStr">
        <is>
          <t>[Enter Score 0-100]</t>
        </is>
      </c>
      <c r="D6" s="9" t="n">
        <v>25</v>
      </c>
      <c r="E6" s="9">
        <f>C6*D6/100</f>
        <v/>
      </c>
      <c r="F6" s="9" t="inlineStr">
        <is>
          <t>No exposure</t>
        </is>
      </c>
      <c r="G6" s="9" t="inlineStr">
        <is>
          <t>Minor indirect</t>
        </is>
      </c>
      <c r="H6" s="9" t="inlineStr">
        <is>
          <t>Direct sanctions risk</t>
        </is>
      </c>
    </row>
    <row r="7">
      <c r="A7" s="9" t="inlineStr">
        <is>
          <t>Currency Volatility</t>
        </is>
      </c>
      <c r="B7" s="9" t="inlineStr">
        <is>
          <t>5% annual</t>
        </is>
      </c>
      <c r="C7" s="9" t="inlineStr">
        <is>
          <t>[Enter Score 0-100]</t>
        </is>
      </c>
      <c r="D7" s="9" t="n">
        <v>15</v>
      </c>
      <c r="E7" s="9">
        <f>C7*D7/100</f>
        <v/>
      </c>
      <c r="F7" s="9" t="inlineStr">
        <is>
          <t>&lt;10% annual</t>
        </is>
      </c>
      <c r="G7" s="9" t="inlineStr">
        <is>
          <t>10-25% annual</t>
        </is>
      </c>
      <c r="H7" s="9" t="inlineStr">
        <is>
          <t>&gt;25% annual</t>
        </is>
      </c>
    </row>
    <row r="9">
      <c r="A9" s="2" t="inlineStr">
        <is>
          <t>GEOPOLITICAL PILLAR SCORE</t>
        </is>
      </c>
      <c r="D9" s="2">
        <f>SUM(D4:D7)</f>
        <v/>
      </c>
      <c r="E9" s="4">
        <f>SUM(E4:E7)</f>
        <v/>
      </c>
      <c r="F9" s="2">
        <f>IF(E9&lt;=33,"LOW",IF(E9&lt;=66,"MEDIUM","HIGH"))</f>
        <v/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5" customWidth="1" min="5" max="5"/>
    <col width="30" customWidth="1" min="6" max="6"/>
    <col width="30" customWidth="1" min="7" max="7"/>
    <col width="25" customWidth="1" min="8" max="8"/>
  </cols>
  <sheetData>
    <row r="1">
      <c r="A1" s="4" t="inlineStr">
        <is>
          <t>ESG RISK SCORING (15% Weight)</t>
        </is>
      </c>
    </row>
    <row r="3">
      <c r="A3" s="10" t="inlineStr">
        <is>
          <t>Metric</t>
        </is>
      </c>
      <c r="B3" s="10" t="inlineStr">
        <is>
          <t>Raw Value</t>
        </is>
      </c>
      <c r="C3" s="10" t="inlineStr">
        <is>
          <t>Score (0-100)</t>
        </is>
      </c>
      <c r="D3" s="10" t="inlineStr">
        <is>
          <t>Weight %</t>
        </is>
      </c>
      <c r="E3" s="10" t="inlineStr">
        <is>
          <t>Weighted Score</t>
        </is>
      </c>
      <c r="F3" s="10" t="inlineStr">
        <is>
          <t>LOW Threshold</t>
        </is>
      </c>
      <c r="G3" s="10" t="inlineStr">
        <is>
          <t>MEDIUM Threshold</t>
        </is>
      </c>
      <c r="H3" s="10" t="inlineStr">
        <is>
          <t>HIGH Threshold</t>
        </is>
      </c>
    </row>
    <row r="4">
      <c r="A4" s="9" t="inlineStr">
        <is>
          <t>Environmental (E)</t>
        </is>
      </c>
      <c r="B4" s="9" t="inlineStr">
        <is>
          <t>EcoVadis B</t>
        </is>
      </c>
      <c r="C4" s="9" t="inlineStr">
        <is>
          <t>[Enter Score 0-100]</t>
        </is>
      </c>
      <c r="D4" s="9" t="n">
        <v>35</v>
      </c>
      <c r="E4" s="9">
        <f>C4*D4/100</f>
        <v/>
      </c>
      <c r="F4" s="9" t="inlineStr">
        <is>
          <t>EcoVadis A/B, ISO 14001</t>
        </is>
      </c>
      <c r="G4" s="9" t="inlineStr">
        <is>
          <t>EcoVadis C, no major violations</t>
        </is>
      </c>
      <c r="H4" s="9" t="inlineStr">
        <is>
          <t>EcoVadis D/E, violations</t>
        </is>
      </c>
    </row>
    <row r="5">
      <c r="A5" s="9" t="inlineStr">
        <is>
          <t>Social (S)</t>
        </is>
      </c>
      <c r="B5" s="9" t="inlineStr">
        <is>
          <t>Strong CoC</t>
        </is>
      </c>
      <c r="C5" s="9" t="inlineStr">
        <is>
          <t>[Enter Score 0-100]</t>
        </is>
      </c>
      <c r="D5" s="9" t="n">
        <v>35</v>
      </c>
      <c r="E5" s="9">
        <f>C5*D5/100</f>
        <v/>
      </c>
      <c r="F5" s="9" t="inlineStr">
        <is>
          <t>Strong CoC, no controversies</t>
        </is>
      </c>
      <c r="G5" s="9" t="inlineStr">
        <is>
          <t>Minor controversies resolved</t>
        </is>
      </c>
      <c r="H5" s="9" t="inlineStr">
        <is>
          <t>Active litigation, labor issues</t>
        </is>
      </c>
    </row>
    <row r="6">
      <c r="A6" s="9" t="inlineStr">
        <is>
          <t>Governance (G)</t>
        </is>
      </c>
      <c r="B6" s="9" t="inlineStr">
        <is>
          <t>Transparent</t>
        </is>
      </c>
      <c r="C6" s="9" t="inlineStr">
        <is>
          <t>[Enter Score 0-100]</t>
        </is>
      </c>
      <c r="D6" s="9" t="n">
        <v>30</v>
      </c>
      <c r="E6" s="9">
        <f>C6*D6/100</f>
        <v/>
      </c>
      <c r="F6" s="9" t="inlineStr">
        <is>
          <t>Transparent ownership</t>
        </is>
      </c>
      <c r="G6" s="9" t="inlineStr">
        <is>
          <t>Complex structure</t>
        </is>
      </c>
      <c r="H6" s="9" t="inlineStr">
        <is>
          <t>Sanctions, corruption cases</t>
        </is>
      </c>
    </row>
    <row r="8">
      <c r="A8" s="2" t="inlineStr">
        <is>
          <t>ESG PILLAR SCORE</t>
        </is>
      </c>
      <c r="D8" s="2">
        <f>SUM(D4:D6)</f>
        <v/>
      </c>
      <c r="E8" s="4">
        <f>SUM(E4:E6)</f>
        <v/>
      </c>
      <c r="F8" s="2">
        <f>IF(E8&lt;=33,"LOW",IF(E8&lt;=66,"MEDIUM","HIGH"))</f>
        <v/>
      </c>
    </row>
    <row r="11">
      <c r="A11" s="12" t="inlineStr">
        <is>
          <t>ESG OVERRIDE RULE:</t>
        </is>
      </c>
    </row>
    <row r="12">
      <c r="A12" t="inlineStr">
        <is>
          <t>If ANY ESG sub-pillar is HIGH (controversy/litigation), overall ESG = HIGH regardless of other scores.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2" customWidth="1" min="4" max="4"/>
    <col width="15" customWidth="1" min="5" max="5"/>
    <col width="25" customWidth="1" min="6" max="6"/>
    <col width="25" customWidth="1" min="7" max="7"/>
    <col width="20" customWidth="1" min="8" max="8"/>
  </cols>
  <sheetData>
    <row r="1">
      <c r="A1" s="4" t="inlineStr">
        <is>
          <t>COMMERCIAL RISK SCORING (5% Weight)</t>
        </is>
      </c>
    </row>
    <row r="3">
      <c r="A3" s="10" t="inlineStr">
        <is>
          <t>Metric</t>
        </is>
      </c>
      <c r="B3" s="10" t="inlineStr">
        <is>
          <t>Raw Value</t>
        </is>
      </c>
      <c r="C3" s="10" t="inlineStr">
        <is>
          <t>Score (0-100)</t>
        </is>
      </c>
      <c r="D3" s="10" t="inlineStr">
        <is>
          <t>Weight %</t>
        </is>
      </c>
      <c r="E3" s="10" t="inlineStr">
        <is>
          <t>Weighted Score</t>
        </is>
      </c>
      <c r="F3" s="10" t="inlineStr">
        <is>
          <t>LOW Threshold</t>
        </is>
      </c>
      <c r="G3" s="10" t="inlineStr">
        <is>
          <t>MEDIUM Threshold</t>
        </is>
      </c>
      <c r="H3" s="10" t="inlineStr">
        <is>
          <t>HIGH Threshold</t>
        </is>
      </c>
    </row>
    <row r="4">
      <c r="A4" s="9" t="inlineStr">
        <is>
          <t>Pricing Volatility</t>
        </is>
      </c>
      <c r="B4" s="9" t="inlineStr">
        <is>
          <t>Stable</t>
        </is>
      </c>
      <c r="C4" s="9" t="inlineStr">
        <is>
          <t>[Enter Score 0-100]</t>
        </is>
      </c>
      <c r="D4" s="9" t="n">
        <v>35</v>
      </c>
      <c r="E4" s="9">
        <f>C4*D4/100</f>
        <v/>
      </c>
      <c r="F4" s="9" t="inlineStr">
        <is>
          <t>Stable, predictable</t>
        </is>
      </c>
      <c r="G4" s="9" t="inlineStr">
        <is>
          <t>Moderate fluctuations</t>
        </is>
      </c>
      <c r="H4" s="9" t="inlineStr">
        <is>
          <t>Highly volatile</t>
        </is>
      </c>
    </row>
    <row r="5">
      <c r="A5" s="9" t="inlineStr">
        <is>
          <t>Contract Flexibility</t>
        </is>
      </c>
      <c r="B5" s="9" t="inlineStr">
        <is>
          <t>Standard</t>
        </is>
      </c>
      <c r="C5" s="9" t="inlineStr">
        <is>
          <t>[Enter Score 0-100]</t>
        </is>
      </c>
      <c r="D5" s="9" t="n">
        <v>35</v>
      </c>
      <c r="E5" s="9">
        <f>C5*D5/100</f>
        <v/>
      </c>
      <c r="F5" s="9" t="inlineStr">
        <is>
          <t>Standard terms OK</t>
        </is>
      </c>
      <c r="G5" s="9" t="inlineStr">
        <is>
          <t>Some negotiation needed</t>
        </is>
      </c>
      <c r="H5" s="9" t="inlineStr">
        <is>
          <t>Aggressive terms</t>
        </is>
      </c>
    </row>
    <row r="6">
      <c r="A6" s="9" t="inlineStr">
        <is>
          <t>Market Position</t>
        </is>
      </c>
      <c r="B6" s="9" t="inlineStr">
        <is>
          <t>Leader</t>
        </is>
      </c>
      <c r="C6" s="9" t="inlineStr">
        <is>
          <t>[Enter Score 0-100]</t>
        </is>
      </c>
      <c r="D6" s="9" t="n">
        <v>30</v>
      </c>
      <c r="E6" s="9">
        <f>C6*D6/100</f>
        <v/>
      </c>
      <c r="F6" s="9" t="inlineStr">
        <is>
          <t>Leader / strong #2</t>
        </is>
      </c>
      <c r="G6" s="9" t="inlineStr">
        <is>
          <t>Mid-tier</t>
        </is>
      </c>
      <c r="H6" s="9" t="inlineStr">
        <is>
          <t>Weak, struggling</t>
        </is>
      </c>
    </row>
    <row r="8">
      <c r="A8" s="2" t="inlineStr">
        <is>
          <t>COMMERCIAL PILLAR SCORE</t>
        </is>
      </c>
      <c r="D8" s="2">
        <f>SUM(D4:D6)</f>
        <v/>
      </c>
      <c r="E8" s="4">
        <f>SUM(E4:E6)</f>
        <v/>
      </c>
      <c r="F8" s="2">
        <f>IF(E8&lt;=33,"LOW",IF(E8&lt;=66,"MEDIUM","HIGH"))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15" customWidth="1" min="4" max="4"/>
  </cols>
  <sheetData>
    <row r="1">
      <c r="A1" s="4" t="inlineStr">
        <is>
          <t>RAW DATA INPUTS</t>
        </is>
      </c>
    </row>
    <row r="3">
      <c r="A3" s="13" t="inlineStr">
        <is>
          <t>Field</t>
        </is>
      </c>
      <c r="B3" s="13" t="inlineStr">
        <is>
          <t>Value</t>
        </is>
      </c>
      <c r="C3" s="13" t="inlineStr">
        <is>
          <t>Source</t>
        </is>
      </c>
      <c r="D3" s="13" t="inlineStr">
        <is>
          <t>Date Sourced</t>
        </is>
      </c>
    </row>
    <row r="4">
      <c r="A4" t="inlineStr">
        <is>
          <t>revenue_2024</t>
        </is>
      </c>
      <c r="B4" t="inlineStr">
        <is>
          <t>[Enter value]</t>
        </is>
      </c>
      <c r="C4" t="inlineStr">
        <is>
          <t>[Source]</t>
        </is>
      </c>
      <c r="D4" t="inlineStr">
        <is>
          <t>[Date]</t>
        </is>
      </c>
    </row>
    <row r="5">
      <c r="A5" t="inlineStr">
        <is>
          <t>revenue_2023</t>
        </is>
      </c>
      <c r="B5" t="inlineStr">
        <is>
          <t>[Enter value]</t>
        </is>
      </c>
      <c r="C5" t="inlineStr">
        <is>
          <t>[Source]</t>
        </is>
      </c>
      <c r="D5" t="inlineStr">
        <is>
          <t>[Date]</t>
        </is>
      </c>
    </row>
    <row r="6">
      <c r="A6" t="inlineStr">
        <is>
          <t>revenue_2022</t>
        </is>
      </c>
      <c r="B6" t="inlineStr">
        <is>
          <t>[Enter value]</t>
        </is>
      </c>
      <c r="C6" t="inlineStr">
        <is>
          <t>[Source]</t>
        </is>
      </c>
      <c r="D6" t="inlineStr">
        <is>
          <t>[Date]</t>
        </is>
      </c>
    </row>
    <row r="7">
      <c r="A7" t="inlineStr">
        <is>
          <t>revenue_yoy</t>
        </is>
      </c>
      <c r="B7" t="inlineStr">
        <is>
          <t>[Enter value]</t>
        </is>
      </c>
      <c r="C7" t="inlineStr">
        <is>
          <t>[Source]</t>
        </is>
      </c>
      <c r="D7" t="inlineStr">
        <is>
          <t>[Date]</t>
        </is>
      </c>
    </row>
    <row r="8">
      <c r="A8" t="inlineStr">
        <is>
          <t>ebitda</t>
        </is>
      </c>
      <c r="B8" t="inlineStr">
        <is>
          <t>[Enter value]</t>
        </is>
      </c>
      <c r="C8" t="inlineStr">
        <is>
          <t>[Source]</t>
        </is>
      </c>
      <c r="D8" t="inlineStr">
        <is>
          <t>[Date]</t>
        </is>
      </c>
    </row>
    <row r="9">
      <c r="A9" t="inlineStr">
        <is>
          <t>ebitda_margin</t>
        </is>
      </c>
      <c r="B9" t="inlineStr">
        <is>
          <t>[Enter value]</t>
        </is>
      </c>
      <c r="C9" t="inlineStr">
        <is>
          <t>[Source]</t>
        </is>
      </c>
      <c r="D9" t="inlineStr">
        <is>
          <t>[Date]</t>
        </is>
      </c>
    </row>
    <row r="10">
      <c r="A10" t="inlineStr">
        <is>
          <t>net_profit</t>
        </is>
      </c>
      <c r="B10" t="inlineStr">
        <is>
          <t>[Enter value]</t>
        </is>
      </c>
      <c r="C10" t="inlineStr">
        <is>
          <t>[Source]</t>
        </is>
      </c>
      <c r="D10" t="inlineStr">
        <is>
          <t>[Date]</t>
        </is>
      </c>
    </row>
    <row r="11">
      <c r="A11" t="inlineStr">
        <is>
          <t>cagr_3yr</t>
        </is>
      </c>
      <c r="B11" t="inlineStr">
        <is>
          <t>[Enter value]</t>
        </is>
      </c>
      <c r="C11" t="inlineStr">
        <is>
          <t>[Source]</t>
        </is>
      </c>
      <c r="D11" t="inlineStr">
        <is>
          <t>[Date]</t>
        </is>
      </c>
    </row>
    <row r="12">
      <c r="A12" t="inlineStr">
        <is>
          <t>order_book</t>
        </is>
      </c>
      <c r="B12" t="inlineStr">
        <is>
          <t>[Enter value]</t>
        </is>
      </c>
      <c r="C12" t="inlineStr">
        <is>
          <t>[Source]</t>
        </is>
      </c>
      <c r="D12" t="inlineStr">
        <is>
          <t>[Date]</t>
        </is>
      </c>
    </row>
    <row r="13">
      <c r="A13" t="inlineStr">
        <is>
          <t>gross_debt</t>
        </is>
      </c>
      <c r="B13" t="inlineStr">
        <is>
          <t>[Enter value]</t>
        </is>
      </c>
      <c r="C13" t="inlineStr">
        <is>
          <t>[Source]</t>
        </is>
      </c>
      <c r="D13" t="inlineStr">
        <is>
          <t>[Date]</t>
        </is>
      </c>
    </row>
    <row r="14">
      <c r="A14" t="inlineStr">
        <is>
          <t>net_cash</t>
        </is>
      </c>
      <c r="B14" t="inlineStr">
        <is>
          <t>[Enter value]</t>
        </is>
      </c>
      <c r="C14" t="inlineStr">
        <is>
          <t>[Source]</t>
        </is>
      </c>
      <c r="D14" t="inlineStr">
        <is>
          <t>[Date]</t>
        </is>
      </c>
    </row>
    <row r="15">
      <c r="A15" t="inlineStr">
        <is>
          <t>debt_ebitda</t>
        </is>
      </c>
      <c r="B15" t="inlineStr">
        <is>
          <t>[Enter value]</t>
        </is>
      </c>
      <c r="C15" t="inlineStr">
        <is>
          <t>[Source]</t>
        </is>
      </c>
      <c r="D15" t="inlineStr">
        <is>
          <t>[Date]</t>
        </is>
      </c>
    </row>
    <row r="16">
      <c r="A16" t="inlineStr">
        <is>
          <t>headquarters</t>
        </is>
      </c>
      <c r="B16" t="inlineStr">
        <is>
          <t>[Enter value]</t>
        </is>
      </c>
      <c r="C16" t="inlineStr">
        <is>
          <t>[Source]</t>
        </is>
      </c>
      <c r="D16" t="inlineStr">
        <is>
          <t>[Date]</t>
        </is>
      </c>
    </row>
    <row r="17">
      <c r="A17" t="inlineStr">
        <is>
          <t>employees</t>
        </is>
      </c>
      <c r="B17" t="inlineStr">
        <is>
          <t>[Enter value]</t>
        </is>
      </c>
      <c r="C17" t="inlineStr">
        <is>
          <t>[Source]</t>
        </is>
      </c>
      <c r="D17" t="inlineStr">
        <is>
          <t>[Date]</t>
        </is>
      </c>
    </row>
    <row r="18">
      <c r="A18" t="inlineStr">
        <is>
          <t>founded_year</t>
        </is>
      </c>
      <c r="B18" t="inlineStr">
        <is>
          <t>[Enter value]</t>
        </is>
      </c>
      <c r="C18" t="inlineStr">
        <is>
          <t>[Source]</t>
        </is>
      </c>
      <c r="D18" t="inlineStr">
        <is>
          <t>[Date]</t>
        </is>
      </c>
    </row>
    <row r="19">
      <c r="A19" t="inlineStr">
        <is>
          <t>ceo_name</t>
        </is>
      </c>
      <c r="B19" t="inlineStr">
        <is>
          <t>[Enter value]</t>
        </is>
      </c>
      <c r="C19" t="inlineStr">
        <is>
          <t>[Source]</t>
        </is>
      </c>
      <c r="D19" t="inlineStr">
        <is>
          <t>[Date]</t>
        </is>
      </c>
    </row>
    <row r="20">
      <c r="A20" t="inlineStr">
        <is>
          <t>ceo_tenure</t>
        </is>
      </c>
      <c r="B20" t="inlineStr">
        <is>
          <t>[Enter value]</t>
        </is>
      </c>
      <c r="C20" t="inlineStr">
        <is>
          <t>[Source]</t>
        </is>
      </c>
      <c r="D20" t="inlineStr">
        <is>
          <t>[Date]</t>
        </is>
      </c>
    </row>
    <row r="21">
      <c r="A21" t="inlineStr">
        <is>
          <t>parent_company</t>
        </is>
      </c>
      <c r="B21" t="inlineStr">
        <is>
          <t>[Enter value]</t>
        </is>
      </c>
      <c r="C21" t="inlineStr">
        <is>
          <t>[Source]</t>
        </is>
      </c>
      <c r="D21" t="inlineStr">
        <is>
          <t>[Date]</t>
        </is>
      </c>
    </row>
    <row r="22">
      <c r="A22" t="inlineStr">
        <is>
          <t>esg_environmental</t>
        </is>
      </c>
      <c r="B22" t="inlineStr">
        <is>
          <t>[Enter value]</t>
        </is>
      </c>
      <c r="C22" t="inlineStr">
        <is>
          <t>[Source]</t>
        </is>
      </c>
      <c r="D22" t="inlineStr">
        <is>
          <t>[Date]</t>
        </is>
      </c>
    </row>
    <row r="23">
      <c r="A23" t="inlineStr">
        <is>
          <t>esg_social</t>
        </is>
      </c>
      <c r="B23" t="inlineStr">
        <is>
          <t>[Enter value]</t>
        </is>
      </c>
      <c r="C23" t="inlineStr">
        <is>
          <t>[Source]</t>
        </is>
      </c>
      <c r="D23" t="inlineStr">
        <is>
          <t>[Date]</t>
        </is>
      </c>
    </row>
    <row r="24">
      <c r="A24" t="inlineStr">
        <is>
          <t>esg_governance</t>
        </is>
      </c>
      <c r="B24" t="inlineStr">
        <is>
          <t>[Enter value]</t>
        </is>
      </c>
      <c r="C24" t="inlineStr">
        <is>
          <t>[Source]</t>
        </is>
      </c>
      <c r="D24" t="inlineStr">
        <is>
          <t>[Date]</t>
        </is>
      </c>
    </row>
    <row r="25">
      <c r="A25" t="inlineStr">
        <is>
          <t>ecovadis_rating</t>
        </is>
      </c>
      <c r="B25" t="inlineStr">
        <is>
          <t>[Enter value]</t>
        </is>
      </c>
      <c r="C25" t="inlineStr">
        <is>
          <t>[Source]</t>
        </is>
      </c>
      <c r="D25" t="inlineStr">
        <is>
          <t>[Date]</t>
        </is>
      </c>
    </row>
    <row r="26">
      <c r="A26" t="inlineStr">
        <is>
          <t>iso_14001</t>
        </is>
      </c>
      <c r="B26" t="inlineStr">
        <is>
          <t>[Enter value]</t>
        </is>
      </c>
      <c r="C26" t="inlineStr">
        <is>
          <t>[Source]</t>
        </is>
      </c>
      <c r="D26" t="inlineStr">
        <is>
          <t>[Date]</t>
        </is>
      </c>
    </row>
    <row r="27">
      <c r="A27" t="inlineStr">
        <is>
          <t>iso_9001</t>
        </is>
      </c>
      <c r="B27" t="inlineStr">
        <is>
          <t>[Enter value]</t>
        </is>
      </c>
      <c r="C27" t="inlineStr">
        <is>
          <t>[Source]</t>
        </is>
      </c>
      <c r="D27" t="inlineStr">
        <is>
          <t>[Date]</t>
        </is>
      </c>
    </row>
    <row r="28">
      <c r="A28" t="inlineStr">
        <is>
          <t>controversy_1</t>
        </is>
      </c>
      <c r="B28" t="inlineStr">
        <is>
          <t>[Enter value]</t>
        </is>
      </c>
      <c r="C28" t="inlineStr">
        <is>
          <t>[Source]</t>
        </is>
      </c>
      <c r="D28" t="inlineStr">
        <is>
          <t>[Date]</t>
        </is>
      </c>
    </row>
    <row r="29">
      <c r="A29" t="inlineStr">
        <is>
          <t>controversy_2</t>
        </is>
      </c>
      <c r="B29" t="inlineStr">
        <is>
          <t>[Enter value]</t>
        </is>
      </c>
      <c r="C29" t="inlineStr">
        <is>
          <t>[Source]</t>
        </is>
      </c>
      <c r="D29" t="inlineStr">
        <is>
          <t>[Date]</t>
        </is>
      </c>
    </row>
    <row r="30">
      <c r="A30" t="inlineStr">
        <is>
          <t>controversy_3</t>
        </is>
      </c>
      <c r="B30" t="inlineStr">
        <is>
          <t>[Enter value]</t>
        </is>
      </c>
      <c r="C30" t="inlineStr">
        <is>
          <t>[Source]</t>
        </is>
      </c>
      <c r="D30" t="inlineStr">
        <is>
          <t>[Date]</t>
        </is>
      </c>
    </row>
    <row r="31">
      <c r="A31" t="inlineStr">
        <is>
          <t>competitor_1</t>
        </is>
      </c>
      <c r="B31" t="inlineStr">
        <is>
          <t>[Enter value]</t>
        </is>
      </c>
      <c r="C31" t="inlineStr">
        <is>
          <t>[Source]</t>
        </is>
      </c>
      <c r="D31" t="inlineStr">
        <is>
          <t>[Date]</t>
        </is>
      </c>
    </row>
    <row r="32">
      <c r="A32" t="inlineStr">
        <is>
          <t>competitor_1_revenue</t>
        </is>
      </c>
      <c r="B32" t="inlineStr">
        <is>
          <t>[Enter value]</t>
        </is>
      </c>
      <c r="C32" t="inlineStr">
        <is>
          <t>[Source]</t>
        </is>
      </c>
      <c r="D32" t="inlineStr">
        <is>
          <t>[Date]</t>
        </is>
      </c>
    </row>
    <row r="33">
      <c r="A33" t="inlineStr">
        <is>
          <t>competitor_2</t>
        </is>
      </c>
      <c r="B33" t="inlineStr">
        <is>
          <t>[Enter value]</t>
        </is>
      </c>
      <c r="C33" t="inlineStr">
        <is>
          <t>[Source]</t>
        </is>
      </c>
      <c r="D33" t="inlineStr">
        <is>
          <t>[Date]</t>
        </is>
      </c>
    </row>
    <row r="34">
      <c r="A34" t="inlineStr">
        <is>
          <t>competitor_2_revenue</t>
        </is>
      </c>
      <c r="B34" t="inlineStr">
        <is>
          <t>[Enter value]</t>
        </is>
      </c>
      <c r="C34" t="inlineStr">
        <is>
          <t>[Source]</t>
        </is>
      </c>
      <c r="D34" t="inlineStr">
        <is>
          <t>[Date]</t>
        </is>
      </c>
    </row>
    <row r="35">
      <c r="A35" t="inlineStr">
        <is>
          <t>competitor_3</t>
        </is>
      </c>
      <c r="B35" t="inlineStr">
        <is>
          <t>[Enter value]</t>
        </is>
      </c>
      <c r="C35" t="inlineStr">
        <is>
          <t>[Source]</t>
        </is>
      </c>
      <c r="D35" t="inlineStr">
        <is>
          <t>[Date]</t>
        </is>
      </c>
    </row>
    <row r="36">
      <c r="A36" t="inlineStr">
        <is>
          <t>competitor_3_revenue</t>
        </is>
      </c>
      <c r="B36" t="inlineStr">
        <is>
          <t>[Enter value]</t>
        </is>
      </c>
      <c r="C36" t="inlineStr">
        <is>
          <t>[Source]</t>
        </is>
      </c>
      <c r="D36" t="inlineStr">
        <is>
          <t>[Date]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2026-03-06T12:13:48Z</dcterms:created>
  <dcterms:modified xmlns:dcterms="http://purl.org/dc/terms/" xmlns:xsi="http://www.w3.org/2001/XMLSchema-instance" xsi:type="dcterms:W3CDTF">2026-03-06T12:13:48Z</dcterms:modified>
</cp:coreProperties>
</file>