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Operational" sheetId="3" state="visible" r:id="rId3"/>
    <sheet xmlns:r="http://schemas.openxmlformats.org/officeDocument/2006/relationships" name="Geopolitical" sheetId="4" state="visible" r:id="rId4"/>
    <sheet xmlns:r="http://schemas.openxmlformats.org/officeDocument/2006/relationships" name="ES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sz val="24"/>
    </font>
    <font>
      <b val="1"/>
      <sz val="12"/>
    </font>
    <font>
      <b val="1"/>
      <color rgb="00FFFFFF"/>
      <sz val="12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002147"/>
        <bgColor rgb="00002147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1" fontId="0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PRODUCT 1 RISK SCORING TEMPLATE</t>
        </is>
      </c>
    </row>
    <row r="3">
      <c r="A3" s="2" t="inlineStr">
        <is>
          <t>Supplier:</t>
        </is>
      </c>
      <c r="B3" t="inlineStr">
        <is>
          <t>[Enter Supplier Name]</t>
        </is>
      </c>
    </row>
    <row r="4">
      <c r="A4" s="2" t="inlineStr">
        <is>
          <t>Analysis Date:</t>
        </is>
      </c>
      <c r="B4" s="3">
        <f>TODAY()</f>
        <v/>
      </c>
    </row>
    <row r="5">
      <c r="A5" s="2" t="inlineStr">
        <is>
          <t>Analyst:</t>
        </is>
      </c>
      <c r="B5" t="inlineStr">
        <is>
          <t>[Agent Name]</t>
        </is>
      </c>
    </row>
    <row r="7">
      <c r="A7" s="4" t="inlineStr">
        <is>
          <t>OVERALL RISK SCORE</t>
        </is>
      </c>
      <c r="B7" s="5">
        <f>ROUND(SUMPRODUCT(B12:B16,C12:C16)/100,0)</f>
        <v/>
      </c>
    </row>
    <row r="8">
      <c r="A8" s="2" t="inlineStr">
        <is>
          <t>OVERALL RATING</t>
        </is>
      </c>
      <c r="B8" s="4">
        <f>IF(B7&lt;=33,"LOW",IF(B7&lt;=66,"MEDIUM","HIGH"))</f>
        <v/>
      </c>
    </row>
    <row r="9">
      <c r="A9" s="2" t="inlineStr">
        <is>
          <t>RECOMMENDATION</t>
        </is>
      </c>
      <c r="B9" s="6">
        <f>IF(B7&lt;=33,"APPROVE",IF(B7&lt;=66,"APPROVE WITH CONDITIONS","REJECT"))</f>
        <v/>
      </c>
    </row>
    <row r="11">
      <c r="A11" s="7" t="inlineStr">
        <is>
          <t>PILLAR BREAKDOWN</t>
        </is>
      </c>
    </row>
    <row r="12">
      <c r="A12" s="8" t="inlineStr">
        <is>
          <t>Risk Pillar</t>
        </is>
      </c>
      <c r="B12" s="8" t="inlineStr">
        <is>
          <t>Score (0-100)</t>
        </is>
      </c>
      <c r="C12" s="8" t="inlineStr">
        <is>
          <t>Weight %</t>
        </is>
      </c>
      <c r="D12" s="8" t="inlineStr">
        <is>
          <t>Weighted Score</t>
        </is>
      </c>
      <c r="E12" s="8" t="inlineStr">
        <is>
          <t>Rating</t>
        </is>
      </c>
    </row>
    <row r="13">
      <c r="A13" s="9" t="inlineStr">
        <is>
          <t>Financial</t>
        </is>
      </c>
      <c r="B13" s="9" t="inlineStr">
        <is>
          <t>[Score]</t>
        </is>
      </c>
      <c r="C13" s="10" t="n">
        <v>35</v>
      </c>
      <c r="D13" s="9">
        <f>B13*C13/100</f>
        <v/>
      </c>
      <c r="E13" s="9">
        <f>IF(B13&lt;=33,"LOW",IF(B13&lt;=66,"MEDIUM","HIGH"))</f>
        <v/>
      </c>
    </row>
    <row r="14">
      <c r="A14" s="9" t="inlineStr">
        <is>
          <t>Operational</t>
        </is>
      </c>
      <c r="B14" s="9" t="inlineStr">
        <is>
          <t>[Score]</t>
        </is>
      </c>
      <c r="C14" s="10" t="n">
        <v>25</v>
      </c>
      <c r="D14" s="9">
        <f>B14*C14/100</f>
        <v/>
      </c>
      <c r="E14" s="9">
        <f>IF(B14&lt;=33,"LOW",IF(B14&lt;=66,"MEDIUM","HIGH"))</f>
        <v/>
      </c>
    </row>
    <row r="15">
      <c r="A15" s="9" t="inlineStr">
        <is>
          <t>Geopolitical</t>
        </is>
      </c>
      <c r="B15" s="9" t="inlineStr">
        <is>
          <t>[Score]</t>
        </is>
      </c>
      <c r="C15" s="10" t="n">
        <v>20</v>
      </c>
      <c r="D15" s="9">
        <f>B15*C15/100</f>
        <v/>
      </c>
      <c r="E15" s="9">
        <f>IF(B15&lt;=33,"LOW",IF(B15&lt;=66,"MEDIUM","HIGH"))</f>
        <v/>
      </c>
    </row>
    <row r="16">
      <c r="A16" s="9" t="inlineStr">
        <is>
          <t>ESG</t>
        </is>
      </c>
      <c r="B16" s="9" t="inlineStr">
        <is>
          <t>[Score]</t>
        </is>
      </c>
      <c r="C16" s="10" t="n">
        <v>15</v>
      </c>
      <c r="D16" s="9">
        <f>B16*C16/100</f>
        <v/>
      </c>
      <c r="E16" s="9">
        <f>IF(B16&lt;=33,"LOW",IF(B16&lt;=66,"MEDIUM","HIGH"))</f>
        <v/>
      </c>
    </row>
    <row r="17">
      <c r="A17" s="9" t="inlineStr">
        <is>
          <t>Commercial</t>
        </is>
      </c>
      <c r="B17" s="9" t="inlineStr">
        <is>
          <t>[Score]</t>
        </is>
      </c>
      <c r="C17" s="10" t="n">
        <v>5</v>
      </c>
      <c r="D17" s="9">
        <f>B17*C17/100</f>
        <v/>
      </c>
      <c r="E17" s="9">
        <f>IF(B17&lt;=33,"LOW",IF(B17&lt;=66,"MEDIUM","HIGH"))</f>
        <v/>
      </c>
    </row>
  </sheetData>
  <mergeCells count="2">
    <mergeCell ref="A11:E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2" customWidth="1" min="4" max="4"/>
    <col width="15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FINANCIAL RISK SCORING (35% Weight)</t>
        </is>
      </c>
    </row>
    <row r="3">
      <c r="A3" s="8" t="inlineStr">
        <is>
          <t>Metric</t>
        </is>
      </c>
      <c r="B3" s="8" t="inlineStr">
        <is>
          <t>Raw Value</t>
        </is>
      </c>
      <c r="C3" s="8" t="inlineStr">
        <is>
          <t>Score (0-100)</t>
        </is>
      </c>
      <c r="D3" s="8" t="inlineStr">
        <is>
          <t>Weight %</t>
        </is>
      </c>
      <c r="E3" s="8" t="inlineStr">
        <is>
          <t>Weighted Score</t>
        </is>
      </c>
      <c r="F3" s="8" t="inlineStr">
        <is>
          <t>LOW Threshold</t>
        </is>
      </c>
      <c r="G3" s="8" t="inlineStr">
        <is>
          <t>MEDIUM Threshold</t>
        </is>
      </c>
      <c r="H3" s="8" t="inlineStr">
        <is>
          <t>HIGH Threshold</t>
        </is>
      </c>
    </row>
    <row r="4">
      <c r="A4" s="9" t="inlineStr">
        <is>
          <t>Debt/EBITDA</t>
        </is>
      </c>
      <c r="B4" s="9" t="inlineStr">
        <is>
          <t>[e.g., 1.4x]</t>
        </is>
      </c>
      <c r="C4" s="9" t="inlineStr">
        <is>
          <t>[Enter 0-100]</t>
        </is>
      </c>
      <c r="D4" s="9" t="n">
        <v>30</v>
      </c>
      <c r="E4" s="9">
        <f>C4*D4/100</f>
        <v/>
      </c>
      <c r="F4" s="9" t="inlineStr">
        <is>
          <t>&lt; 2.0x</t>
        </is>
      </c>
      <c r="G4" s="9" t="inlineStr">
        <is>
          <t>2.0x - 4.0x</t>
        </is>
      </c>
      <c r="H4" s="9" t="inlineStr">
        <is>
          <t>&gt; 4.0x</t>
        </is>
      </c>
    </row>
    <row r="5">
      <c r="A5" s="9" t="inlineStr">
        <is>
          <t>Net Cash Position</t>
        </is>
      </c>
      <c r="B5" s="9" t="inlineStr">
        <is>
          <t>[e.g., +$85M]</t>
        </is>
      </c>
      <c r="C5" s="9" t="inlineStr">
        <is>
          <t>[Enter 0-100]</t>
        </is>
      </c>
      <c r="D5" s="9" t="n">
        <v>25</v>
      </c>
      <c r="E5" s="9">
        <f>C5*D5/100</f>
        <v/>
      </c>
      <c r="F5" s="9" t="inlineStr">
        <is>
          <t>Positive</t>
        </is>
      </c>
      <c r="G5" s="9" t="inlineStr">
        <is>
          <t>Neutral/Small debt</t>
        </is>
      </c>
      <c r="H5" s="9" t="inlineStr">
        <is>
          <t>Significant net debt</t>
        </is>
      </c>
    </row>
    <row r="6">
      <c r="A6" s="9" t="inlineStr">
        <is>
          <t>EBITDA Margin</t>
        </is>
      </c>
      <c r="B6" s="9" t="inlineStr">
        <is>
          <t>[e.g., 13.3%]</t>
        </is>
      </c>
      <c r="C6" s="9" t="inlineStr">
        <is>
          <t>[Enter 0-100]</t>
        </is>
      </c>
      <c r="D6" s="9" t="n">
        <v>25</v>
      </c>
      <c r="E6" s="9">
        <f>C6*D6/100</f>
        <v/>
      </c>
      <c r="F6" s="9" t="inlineStr">
        <is>
          <t>&gt; 12%</t>
        </is>
      </c>
      <c r="G6" s="9" t="inlineStr">
        <is>
          <t>5% - 12%</t>
        </is>
      </c>
      <c r="H6" s="9" t="inlineStr">
        <is>
          <t>&lt; 5% or negative</t>
        </is>
      </c>
    </row>
    <row r="7">
      <c r="A7" s="9" t="inlineStr">
        <is>
          <t>Revenue CAGR (3yr)</t>
        </is>
      </c>
      <c r="B7" s="9" t="inlineStr">
        <is>
          <t>[e.g., 8.5%]</t>
        </is>
      </c>
      <c r="C7" s="9" t="inlineStr">
        <is>
          <t>[Enter 0-100]</t>
        </is>
      </c>
      <c r="D7" s="9" t="n">
        <v>15</v>
      </c>
      <c r="E7" s="9">
        <f>C7*D7/100</f>
        <v/>
      </c>
      <c r="F7" s="9" t="inlineStr">
        <is>
          <t>&gt; 5%</t>
        </is>
      </c>
      <c r="G7" s="9" t="inlineStr">
        <is>
          <t>0% - 5%</t>
        </is>
      </c>
      <c r="H7" s="9" t="inlineStr">
        <is>
          <t>Negative</t>
        </is>
      </c>
    </row>
    <row r="8">
      <c r="A8" s="9" t="inlineStr">
        <is>
          <t>Interest Coverage</t>
        </is>
      </c>
      <c r="B8" s="9" t="inlineStr">
        <is>
          <t>[e.g., 4.2x]</t>
        </is>
      </c>
      <c r="C8" s="9" t="inlineStr">
        <is>
          <t>[Enter 0-100]</t>
        </is>
      </c>
      <c r="D8" s="9" t="n">
        <v>5</v>
      </c>
      <c r="E8" s="9">
        <f>C8*D8/100</f>
        <v/>
      </c>
      <c r="F8" s="9" t="inlineStr">
        <is>
          <t>&gt; 3.0x</t>
        </is>
      </c>
      <c r="G8" s="9" t="inlineStr">
        <is>
          <t>1.5x - 3.0x</t>
        </is>
      </c>
      <c r="H8" s="9" t="inlineStr">
        <is>
          <t>&lt; 1.5x</t>
        </is>
      </c>
    </row>
    <row r="10">
      <c r="A10" s="2" t="inlineStr">
        <is>
          <t>FINANCIAL PILLAR SCORE</t>
        </is>
      </c>
      <c r="E10" s="4">
        <f>SUM(E4:E8)</f>
        <v/>
      </c>
      <c r="F10" s="2">
        <f>IF(E10&lt;=33,"LOW",IF(E10&lt;=66,"MEDIUM","HIGH"))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2" customWidth="1" min="4" max="4"/>
    <col width="15" customWidth="1" min="5" max="5"/>
    <col width="25" customWidth="1" min="6" max="6"/>
    <col width="25" customWidth="1" min="7" max="7"/>
    <col width="20" customWidth="1" min="8" max="8"/>
  </cols>
  <sheetData>
    <row r="1">
      <c r="A1" s="4" t="inlineStr">
        <is>
          <t>OPERATIONAL RISK SCORING (25% Weight)</t>
        </is>
      </c>
    </row>
    <row r="3">
      <c r="A3" s="8" t="inlineStr">
        <is>
          <t>Metric</t>
        </is>
      </c>
      <c r="B3" s="8" t="inlineStr">
        <is>
          <t>Raw Value</t>
        </is>
      </c>
      <c r="C3" s="8" t="inlineStr">
        <is>
          <t>Score (0-100)</t>
        </is>
      </c>
      <c r="D3" s="8" t="inlineStr">
        <is>
          <t>Weight %</t>
        </is>
      </c>
      <c r="E3" s="8" t="inlineStr">
        <is>
          <t>Weighted Score</t>
        </is>
      </c>
      <c r="F3" s="8" t="inlineStr">
        <is>
          <t>LOW Threshold</t>
        </is>
      </c>
      <c r="G3" s="8" t="inlineStr">
        <is>
          <t>MEDIUM Threshold</t>
        </is>
      </c>
      <c r="H3" s="8" t="inlineStr">
        <is>
          <t>HIGH Threshold</t>
        </is>
      </c>
    </row>
    <row r="4">
      <c r="A4" s="9" t="inlineStr">
        <is>
          <t>Order Book Coverage</t>
        </is>
      </c>
      <c r="B4" s="9" t="inlineStr">
        <is>
          <t>[e.g., &gt;18 months]</t>
        </is>
      </c>
      <c r="C4" s="9" t="inlineStr">
        <is>
          <t>[Enter 0-100]</t>
        </is>
      </c>
      <c r="D4" s="9" t="n">
        <v>25</v>
      </c>
      <c r="E4" s="9">
        <f>C4*D4/100</f>
        <v/>
      </c>
      <c r="F4" s="9" t="inlineStr">
        <is>
          <t>&gt; 18 months</t>
        </is>
      </c>
      <c r="G4" s="9" t="inlineStr">
        <is>
          <t>12-18 months</t>
        </is>
      </c>
      <c r="H4" s="9" t="inlineStr">
        <is>
          <t>&lt; 12 months</t>
        </is>
      </c>
    </row>
    <row r="5">
      <c r="A5" s="9" t="inlineStr">
        <is>
          <t>Capacity Utilization</t>
        </is>
      </c>
      <c r="B5" s="9" t="inlineStr">
        <is>
          <t>[e.g., 75%]</t>
        </is>
      </c>
      <c r="C5" s="9" t="inlineStr">
        <is>
          <t>[Enter 0-100]</t>
        </is>
      </c>
      <c r="D5" s="9" t="n">
        <v>20</v>
      </c>
      <c r="E5" s="9">
        <f>C5*D5/100</f>
        <v/>
      </c>
      <c r="F5" s="9" t="inlineStr">
        <is>
          <t>70-85%</t>
        </is>
      </c>
      <c r="G5" s="9" t="inlineStr">
        <is>
          <t>85-95% or &lt;70%</t>
        </is>
      </c>
      <c r="H5" s="9" t="inlineStr">
        <is>
          <t>&gt;95% or &lt;50%</t>
        </is>
      </c>
    </row>
    <row r="6">
      <c r="A6" s="9" t="inlineStr">
        <is>
          <t>Quality Certifications</t>
        </is>
      </c>
      <c r="B6" s="9" t="inlineStr">
        <is>
          <t>[e.g., ISO 9001]</t>
        </is>
      </c>
      <c r="C6" s="9" t="inlineStr">
        <is>
          <t>[Enter 0-100]</t>
        </is>
      </c>
      <c r="D6" s="9" t="n">
        <v>20</v>
      </c>
      <c r="E6" s="9">
        <f>C6*D6/100</f>
        <v/>
      </c>
      <c r="F6" s="9" t="inlineStr">
        <is>
          <t>ISO 9001 + industry cert</t>
        </is>
      </c>
      <c r="G6" s="9" t="inlineStr">
        <is>
          <t>ISO 9001 only</t>
        </is>
      </c>
      <c r="H6" s="9" t="inlineStr">
        <is>
          <t>No certifications</t>
        </is>
      </c>
    </row>
    <row r="7">
      <c r="A7" s="9" t="inlineStr">
        <is>
          <t>Supply Chain Concentration</t>
        </is>
      </c>
      <c r="B7" s="9" t="inlineStr">
        <is>
          <t>[e.g., Diversified]</t>
        </is>
      </c>
      <c r="C7" s="9" t="inlineStr">
        <is>
          <t>[Enter 0-100]</t>
        </is>
      </c>
      <c r="D7" s="9" t="n">
        <v>20</v>
      </c>
      <c r="E7" s="9">
        <f>C7*D7/100</f>
        <v/>
      </c>
      <c r="F7" s="9" t="inlineStr">
        <is>
          <t>&gt;3 regions</t>
        </is>
      </c>
      <c r="G7" s="9" t="inlineStr">
        <is>
          <t>2-3 regions</t>
        </is>
      </c>
      <c r="H7" s="9" t="inlineStr">
        <is>
          <t>1 region</t>
        </is>
      </c>
    </row>
    <row r="8">
      <c r="A8" s="9" t="inlineStr">
        <is>
          <t>Delivery Track Record</t>
        </is>
      </c>
      <c r="B8" s="9" t="inlineStr">
        <is>
          <t>[e.g., 97% on-time]</t>
        </is>
      </c>
      <c r="C8" s="9" t="inlineStr">
        <is>
          <t>[Enter 0-100]</t>
        </is>
      </c>
      <c r="D8" s="9" t="n">
        <v>15</v>
      </c>
      <c r="E8" s="9">
        <f>C8*D8/100</f>
        <v/>
      </c>
      <c r="F8" s="9" t="inlineStr">
        <is>
          <t>&gt;95% on-time</t>
        </is>
      </c>
      <c r="G8" s="9" t="inlineStr">
        <is>
          <t>85-95% on-time</t>
        </is>
      </c>
      <c r="H8" s="9" t="inlineStr">
        <is>
          <t>&lt;85% on-time</t>
        </is>
      </c>
    </row>
    <row r="10">
      <c r="A10" s="2" t="inlineStr">
        <is>
          <t>OPERATIONAL PILLAR SCORE</t>
        </is>
      </c>
      <c r="E10" s="4">
        <f>SUM(E4:E8)</f>
        <v/>
      </c>
      <c r="F10" s="2">
        <f>IF(E10&lt;=33,"LOW",IF(E10&lt;=66,"MEDIUM","HIGH"))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2" customWidth="1" min="4" max="4"/>
    <col width="15" customWidth="1" min="5" max="5"/>
    <col width="25" customWidth="1" min="6" max="6"/>
    <col width="25" customWidth="1" min="7" max="7"/>
    <col width="20" customWidth="1" min="8" max="8"/>
  </cols>
  <sheetData>
    <row r="1">
      <c r="A1" s="4" t="inlineStr">
        <is>
          <t>GEOPOLITICAL RISK SCORING (20% Weight)</t>
        </is>
      </c>
    </row>
    <row r="3">
      <c r="A3" s="8" t="inlineStr">
        <is>
          <t>Metric</t>
        </is>
      </c>
      <c r="B3" s="8" t="inlineStr">
        <is>
          <t>Raw Value</t>
        </is>
      </c>
      <c r="C3" s="8" t="inlineStr">
        <is>
          <t>Score (0-100)</t>
        </is>
      </c>
      <c r="D3" s="8" t="inlineStr">
        <is>
          <t>Weight %</t>
        </is>
      </c>
      <c r="E3" s="8" t="inlineStr">
        <is>
          <t>Weighted Score</t>
        </is>
      </c>
      <c r="F3" s="8" t="inlineStr">
        <is>
          <t>LOW Threshold</t>
        </is>
      </c>
      <c r="G3" s="8" t="inlineStr">
        <is>
          <t>MEDIUM Threshold</t>
        </is>
      </c>
      <c r="H3" s="8" t="inlineStr">
        <is>
          <t>HIGH Threshold</t>
        </is>
      </c>
    </row>
    <row r="4">
      <c r="A4" s="9" t="inlineStr">
        <is>
          <t>Country Risk Rating</t>
        </is>
      </c>
      <c r="B4" s="9" t="inlineStr">
        <is>
          <t>[e.g., Low Risk]</t>
        </is>
      </c>
      <c r="C4" s="9" t="inlineStr">
        <is>
          <t>[Enter 0-100]</t>
        </is>
      </c>
      <c r="D4" s="9" t="n">
        <v>35</v>
      </c>
      <c r="E4" s="9">
        <f>C4*D4/100</f>
        <v/>
      </c>
      <c r="F4" s="9" t="inlineStr">
        <is>
          <t>BMI/Fitch: Low</t>
        </is>
      </c>
      <c r="G4" s="9" t="inlineStr">
        <is>
          <t>BMI/Fitch: Medium</t>
        </is>
      </c>
      <c r="H4" s="9" t="inlineStr">
        <is>
          <t>BMI/Fitch: High</t>
        </is>
      </c>
    </row>
    <row r="5">
      <c r="A5" s="9" t="inlineStr">
        <is>
          <t>Regulatory Stability</t>
        </is>
      </c>
      <c r="B5" s="9" t="inlineStr">
        <is>
          <t>[e.g., Stable]</t>
        </is>
      </c>
      <c r="C5" s="9" t="inlineStr">
        <is>
          <t>[Enter 0-100]</t>
        </is>
      </c>
      <c r="D5" s="9" t="n">
        <v>25</v>
      </c>
      <c r="E5" s="9">
        <f>C5*D5/100</f>
        <v/>
      </c>
      <c r="F5" s="9" t="inlineStr">
        <is>
          <t>Stable, predictable</t>
        </is>
      </c>
      <c r="G5" s="9" t="inlineStr">
        <is>
          <t>Some uncertainty</t>
        </is>
      </c>
      <c r="H5" s="9" t="inlineStr">
        <is>
          <t>High volatility</t>
        </is>
      </c>
    </row>
    <row r="6">
      <c r="A6" s="9" t="inlineStr">
        <is>
          <t>Trade/Sanctions Exposure</t>
        </is>
      </c>
      <c r="B6" s="9" t="inlineStr">
        <is>
          <t>[e.g., None]</t>
        </is>
      </c>
      <c r="C6" s="9" t="inlineStr">
        <is>
          <t>[Enter 0-100]</t>
        </is>
      </c>
      <c r="D6" s="9" t="n">
        <v>25</v>
      </c>
      <c r="E6" s="9">
        <f>C6*D6/100</f>
        <v/>
      </c>
      <c r="F6" s="9" t="inlineStr">
        <is>
          <t>No exposure</t>
        </is>
      </c>
      <c r="G6" s="9" t="inlineStr">
        <is>
          <t>Minor indirect</t>
        </is>
      </c>
      <c r="H6" s="9" t="inlineStr">
        <is>
          <t>Direct sanctions risk</t>
        </is>
      </c>
    </row>
    <row r="7">
      <c r="A7" s="9" t="inlineStr">
        <is>
          <t>Currency Volatility</t>
        </is>
      </c>
      <c r="B7" s="9" t="inlineStr">
        <is>
          <t>[e.g., 5% annual]</t>
        </is>
      </c>
      <c r="C7" s="9" t="inlineStr">
        <is>
          <t>[Enter 0-100]</t>
        </is>
      </c>
      <c r="D7" s="9" t="n">
        <v>15</v>
      </c>
      <c r="E7" s="9">
        <f>C7*D7/100</f>
        <v/>
      </c>
      <c r="F7" s="9" t="inlineStr">
        <is>
          <t>&lt;10% annual</t>
        </is>
      </c>
      <c r="G7" s="9" t="inlineStr">
        <is>
          <t>10-25% annual</t>
        </is>
      </c>
      <c r="H7" s="9" t="inlineStr">
        <is>
          <t>&gt;25% annual</t>
        </is>
      </c>
    </row>
    <row r="9">
      <c r="A9" s="2" t="inlineStr">
        <is>
          <t>GEOPOLITICAL PILLAR SCORE</t>
        </is>
      </c>
      <c r="E9" s="4">
        <f>SUM(E4:E7)</f>
        <v/>
      </c>
      <c r="F9" s="2">
        <f>IF(E9&lt;=33,"LOW",IF(E9&lt;=66,"MEDIUM","HIGH"))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2" customWidth="1" min="4" max="4"/>
    <col width="15" customWidth="1" min="5" max="5"/>
    <col width="30" customWidth="1" min="6" max="6"/>
    <col width="30" customWidth="1" min="7" max="7"/>
    <col width="25" customWidth="1" min="8" max="8"/>
  </cols>
  <sheetData>
    <row r="1">
      <c r="A1" s="4" t="inlineStr">
        <is>
          <t>ESG RISK SCORING (15% Weight)</t>
        </is>
      </c>
    </row>
    <row r="3">
      <c r="A3" s="8" t="inlineStr">
        <is>
          <t>Metric</t>
        </is>
      </c>
      <c r="B3" s="8" t="inlineStr">
        <is>
          <t>Raw Value</t>
        </is>
      </c>
      <c r="C3" s="8" t="inlineStr">
        <is>
          <t>Score (0-100)</t>
        </is>
      </c>
      <c r="D3" s="8" t="inlineStr">
        <is>
          <t>Weight %</t>
        </is>
      </c>
      <c r="E3" s="8" t="inlineStr">
        <is>
          <t>Weighted Score</t>
        </is>
      </c>
      <c r="F3" s="8" t="inlineStr">
        <is>
          <t>LOW Threshold</t>
        </is>
      </c>
      <c r="G3" s="8" t="inlineStr">
        <is>
          <t>MEDIUM Threshold</t>
        </is>
      </c>
      <c r="H3" s="8" t="inlineStr">
        <is>
          <t>HIGH Threshold</t>
        </is>
      </c>
    </row>
    <row r="4">
      <c r="A4" s="9" t="inlineStr">
        <is>
          <t>Environmental (E)</t>
        </is>
      </c>
      <c r="B4" s="9" t="inlineStr">
        <is>
          <t>[e.g., EcoVadis B]</t>
        </is>
      </c>
      <c r="C4" s="9" t="inlineStr">
        <is>
          <t>[Enter 0-100]</t>
        </is>
      </c>
      <c r="D4" s="9" t="n">
        <v>35</v>
      </c>
      <c r="E4" s="9">
        <f>C4*D4/100</f>
        <v/>
      </c>
      <c r="F4" s="9" t="inlineStr">
        <is>
          <t>EcoVadis A/B, ISO 14001</t>
        </is>
      </c>
      <c r="G4" s="9" t="inlineStr">
        <is>
          <t>EcoVadis C, no major violations</t>
        </is>
      </c>
      <c r="H4" s="9" t="inlineStr">
        <is>
          <t>EcoVadis D/E, violations</t>
        </is>
      </c>
    </row>
    <row r="5">
      <c r="A5" s="9" t="inlineStr">
        <is>
          <t>Social (S)</t>
        </is>
      </c>
      <c r="B5" s="9" t="inlineStr">
        <is>
          <t>[e.g., Strong CoC]</t>
        </is>
      </c>
      <c r="C5" s="9" t="inlineStr">
        <is>
          <t>[Enter 0-100]</t>
        </is>
      </c>
      <c r="D5" s="9" t="n">
        <v>35</v>
      </c>
      <c r="E5" s="9">
        <f>C5*D5/100</f>
        <v/>
      </c>
      <c r="F5" s="9" t="inlineStr">
        <is>
          <t>Strong CoC, no controversies</t>
        </is>
      </c>
      <c r="G5" s="9" t="inlineStr">
        <is>
          <t>Minor controversies resolved</t>
        </is>
      </c>
      <c r="H5" s="9" t="inlineStr">
        <is>
          <t>Active litigation, labor issues</t>
        </is>
      </c>
    </row>
    <row r="6">
      <c r="A6" s="9" t="inlineStr">
        <is>
          <t>Governance (G)</t>
        </is>
      </c>
      <c r="B6" s="9" t="inlineStr">
        <is>
          <t>[e.g., Transparent]</t>
        </is>
      </c>
      <c r="C6" s="9" t="inlineStr">
        <is>
          <t>[Enter 0-100]</t>
        </is>
      </c>
      <c r="D6" s="9" t="n">
        <v>30</v>
      </c>
      <c r="E6" s="9">
        <f>C6*D6/100</f>
        <v/>
      </c>
      <c r="F6" s="9" t="inlineStr">
        <is>
          <t>Transparent ownership</t>
        </is>
      </c>
      <c r="G6" s="9" t="inlineStr">
        <is>
          <t>Complex structure</t>
        </is>
      </c>
      <c r="H6" s="9" t="inlineStr">
        <is>
          <t>Sanctions, corruption cases</t>
        </is>
      </c>
    </row>
    <row r="8">
      <c r="A8" s="2" t="inlineStr">
        <is>
          <t>ESG PILLAR SCORE</t>
        </is>
      </c>
      <c r="E8" s="4">
        <f>SUM(E4:E6)</f>
        <v/>
      </c>
      <c r="F8" s="2">
        <f>IF(E8&lt;=33,"LOW",IF(E8&lt;=66,"MEDIUM","HIGH"))</f>
        <v/>
      </c>
    </row>
    <row r="11">
      <c r="A11" s="11" t="inlineStr">
        <is>
          <t>ESG OVERRIDE RULE:</t>
        </is>
      </c>
    </row>
    <row r="12">
      <c r="A12" t="inlineStr">
        <is>
          <t>If ANY ESG sub-pillar is HIGH (controversy/litigation), overall ESG = HIGH regardless of other scores.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2026-03-07T08:49:54Z</dcterms:created>
  <dcterms:modified xmlns:dcterms="http://purl.org/dc/terms/" xmlns:xsi="http://www.w3.org/2001/XMLSchema-instance" xsi:type="dcterms:W3CDTF">2026-03-07T08:49:54Z</dcterms:modified>
</cp:coreProperties>
</file>